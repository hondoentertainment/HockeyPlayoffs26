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Bracket" sheetId="2" state="visible" r:id="rId2"/>
    <sheet name="Picks" sheetId="3" state="visible" r:id="rId3"/>
    <sheet name="Scores" sheetId="4" state="visible" r:id="rId4"/>
    <sheet name="Leaderboard" sheetId="5" state="visible" r:id="rId5"/>
    <sheet name="Config" sheetId="6" state="visible" r:id="rId6"/>
  </sheets>
  <definedNames>
    <definedName name="R1_PTS">Config!$B$2</definedName>
    <definedName name="R2_PTS">Config!$B$3</definedName>
    <definedName name="CF_PTS">Config!$B$4</definedName>
    <definedName name="SCF_PTS">Config!$B$5</definedName>
    <definedName name="GAMES_BONUS">Config!$B$6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  <font>
      <i val="1"/>
      <color rgb="007F7F7F"/>
    </font>
    <font>
      <color rgb="00BFBFBF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4DFEC"/>
      </patternFill>
    </fill>
    <fill>
      <patternFill patternType="solid">
        <fgColor rgb="00FFE699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" t="inlineStr">
        <is>
          <t>NHL Playoffs 2026 — Bracket Scorer</t>
        </is>
      </c>
    </row>
    <row r="2" ht="8" customHeight="1">
      <c r="A2" s="2" t="inlineStr"/>
    </row>
    <row r="3" ht="24" customHeight="1">
      <c r="A3" s="3" t="inlineStr">
        <is>
          <t>How to use this workbook</t>
        </is>
      </c>
    </row>
    <row r="4" ht="8" customHeight="1">
      <c r="A4" s="2" t="inlineStr"/>
    </row>
    <row r="5" ht="24" customHeight="1">
      <c r="A5" s="2" t="inlineStr">
        <is>
          <t>1. Bracket sheet — YELLOW cells are for you to type into. GREEN cells auto-fill.</t>
        </is>
      </c>
    </row>
    <row r="6" ht="24" customHeight="1">
      <c r="A6" s="2" t="inlineStr">
        <is>
          <t xml:space="preserve">   • Round 1: Type each team name into Team 1 / Team 2, then type the Winner and # of Games (4–7).</t>
        </is>
      </c>
    </row>
    <row r="7" ht="24" customHeight="1">
      <c r="A7" s="2" t="inlineStr">
        <is>
          <t xml:space="preserve">   • Round 2, Conference Finals, Stanley Cup Final: Team 1 / Team 2 fill in automatically as you enter winners from the previous round. Just type the Winner and Games for each.</t>
        </is>
      </c>
    </row>
    <row r="8" ht="8" customHeight="1">
      <c r="A8" s="2" t="inlineStr"/>
    </row>
    <row r="9" ht="24" customHeight="1">
      <c r="A9" s="2" t="inlineStr">
        <is>
          <t>2. Picks sheet — One block of columns per player. Type each player's name in row 1, then enter their Winner pick and Games pick for every series. Columns E onward are for players; add more players by copying a player block to the right.</t>
        </is>
      </c>
    </row>
    <row r="10" ht="8" customHeight="1">
      <c r="A10" s="2" t="inlineStr"/>
    </row>
    <row r="11" ht="24" customHeight="1">
      <c r="A11" s="2" t="inlineStr">
        <is>
          <t>3. Scores sheet — Fully automatic. Shows the points each player earned on each series, running totals, and the grand total. Correct series winner = round points. Correct # of games = +1 bonus (only if winner pick was also correct).</t>
        </is>
      </c>
    </row>
    <row r="12" ht="8" customHeight="1">
      <c r="A12" s="2" t="inlineStr"/>
    </row>
    <row r="13" ht="24" customHeight="1">
      <c r="A13" s="2" t="inlineStr">
        <is>
          <t>4. Leaderboard sheet — Live ranking of players by total points. Highest score wins.</t>
        </is>
      </c>
    </row>
    <row r="14" ht="8" customHeight="1">
      <c r="A14" s="2" t="inlineStr"/>
    </row>
    <row r="15" ht="24" customHeight="1">
      <c r="A15" s="2" t="inlineStr">
        <is>
          <t>5. Config sheet — Change point values per round if you want different scoring.</t>
        </is>
      </c>
    </row>
    <row r="16" ht="8" customHeight="1">
      <c r="A16" s="2" t="inlineStr"/>
    </row>
    <row r="17" ht="24" customHeight="1">
      <c r="A17" s="3" t="inlineStr">
        <is>
          <t>Color key</t>
        </is>
      </c>
    </row>
    <row r="18" ht="24" customHeight="1">
      <c r="A18" s="2" t="inlineStr">
        <is>
          <t xml:space="preserve">   YELLOW = user input   GREEN = auto-filled from formulas</t>
        </is>
      </c>
    </row>
    <row r="19" ht="8" customHeight="1">
      <c r="A19" s="2" t="inlineStr"/>
    </row>
    <row r="20" ht="24" customHeight="1">
      <c r="A20" s="3" t="inlineStr">
        <is>
          <t>Default scoring</t>
        </is>
      </c>
    </row>
    <row r="21" ht="24" customHeight="1">
      <c r="A21" s="2" t="inlineStr">
        <is>
          <t xml:space="preserve">   Round 1: 2 pts   Round 2: 4 pts   Conference Final: 6 pts   Stanley Cup Final: 10 pts   Correct games bonus: +1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22" customWidth="1" min="4" max="4"/>
    <col width="22" customWidth="1" min="5" max="5"/>
    <col width="10" customWidth="1" min="6" max="6"/>
  </cols>
  <sheetData>
    <row r="1">
      <c r="A1" s="4" t="inlineStr">
        <is>
          <t>Round</t>
        </is>
      </c>
      <c r="B1" s="4" t="inlineStr">
        <is>
          <t>Series</t>
        </is>
      </c>
      <c r="C1" s="4" t="inlineStr">
        <is>
          <t>Team 1</t>
        </is>
      </c>
      <c r="D1" s="4" t="inlineStr">
        <is>
          <t>Team 2</t>
        </is>
      </c>
      <c r="E1" s="4" t="inlineStr">
        <is>
          <t>Winner</t>
        </is>
      </c>
      <c r="F1" s="4" t="inlineStr">
        <is>
          <t>Games</t>
        </is>
      </c>
    </row>
    <row r="2">
      <c r="A2" s="5" t="inlineStr">
        <is>
          <t>Round 1</t>
        </is>
      </c>
      <c r="B2" s="5" t="inlineStr">
        <is>
          <t>E1</t>
        </is>
      </c>
      <c r="C2" s="6" t="n"/>
      <c r="D2" s="6" t="n"/>
      <c r="E2" s="6" t="n"/>
      <c r="F2" s="6" t="n"/>
    </row>
    <row r="3">
      <c r="A3" s="5" t="inlineStr">
        <is>
          <t>Round 1</t>
        </is>
      </c>
      <c r="B3" s="5" t="inlineStr">
        <is>
          <t>E2</t>
        </is>
      </c>
      <c r="C3" s="6" t="n"/>
      <c r="D3" s="6" t="n"/>
      <c r="E3" s="6" t="n"/>
      <c r="F3" s="6" t="n"/>
    </row>
    <row r="4">
      <c r="A4" s="5" t="inlineStr">
        <is>
          <t>Round 1</t>
        </is>
      </c>
      <c r="B4" s="5" t="inlineStr">
        <is>
          <t>E3</t>
        </is>
      </c>
      <c r="C4" s="6" t="n"/>
      <c r="D4" s="6" t="n"/>
      <c r="E4" s="6" t="n"/>
      <c r="F4" s="6" t="n"/>
    </row>
    <row r="5">
      <c r="A5" s="5" t="inlineStr">
        <is>
          <t>Round 1</t>
        </is>
      </c>
      <c r="B5" s="5" t="inlineStr">
        <is>
          <t>E4</t>
        </is>
      </c>
      <c r="C5" s="6" t="n"/>
      <c r="D5" s="6" t="n"/>
      <c r="E5" s="6" t="n"/>
      <c r="F5" s="6" t="n"/>
    </row>
    <row r="6">
      <c r="A6" s="5" t="inlineStr">
        <is>
          <t>Round 1</t>
        </is>
      </c>
      <c r="B6" s="5" t="inlineStr">
        <is>
          <t>W1</t>
        </is>
      </c>
      <c r="C6" s="6" t="n"/>
      <c r="D6" s="6" t="n"/>
      <c r="E6" s="6" t="n"/>
      <c r="F6" s="6" t="n"/>
    </row>
    <row r="7">
      <c r="A7" s="5" t="inlineStr">
        <is>
          <t>Round 1</t>
        </is>
      </c>
      <c r="B7" s="5" t="inlineStr">
        <is>
          <t>W2</t>
        </is>
      </c>
      <c r="C7" s="6" t="n"/>
      <c r="D7" s="6" t="n"/>
      <c r="E7" s="6" t="n"/>
      <c r="F7" s="6" t="n"/>
    </row>
    <row r="8">
      <c r="A8" s="5" t="inlineStr">
        <is>
          <t>Round 1</t>
        </is>
      </c>
      <c r="B8" s="5" t="inlineStr">
        <is>
          <t>W3</t>
        </is>
      </c>
      <c r="C8" s="6" t="n"/>
      <c r="D8" s="6" t="n"/>
      <c r="E8" s="6" t="n"/>
      <c r="F8" s="6" t="n"/>
    </row>
    <row r="9">
      <c r="A9" s="5" t="inlineStr">
        <is>
          <t>Round 1</t>
        </is>
      </c>
      <c r="B9" s="5" t="inlineStr">
        <is>
          <t>W4</t>
        </is>
      </c>
      <c r="C9" s="6" t="n"/>
      <c r="D9" s="6" t="n"/>
      <c r="E9" s="6" t="n"/>
      <c r="F9" s="6" t="n"/>
    </row>
    <row r="10">
      <c r="A10" s="7" t="inlineStr">
        <is>
          <t>Round 2</t>
        </is>
      </c>
      <c r="B10" s="7" t="inlineStr">
        <is>
          <t>E5</t>
        </is>
      </c>
      <c r="C10" s="8">
        <f>IF(E2="","",E2)</f>
        <v/>
      </c>
      <c r="D10" s="8">
        <f>IF(E3="","",E3)</f>
        <v/>
      </c>
      <c r="E10" s="6" t="n"/>
      <c r="F10" s="6" t="n"/>
    </row>
    <row r="11">
      <c r="A11" s="7" t="inlineStr">
        <is>
          <t>Round 2</t>
        </is>
      </c>
      <c r="B11" s="7" t="inlineStr">
        <is>
          <t>E6</t>
        </is>
      </c>
      <c r="C11" s="8">
        <f>IF(E4="","",E4)</f>
        <v/>
      </c>
      <c r="D11" s="8">
        <f>IF(E5="","",E5)</f>
        <v/>
      </c>
      <c r="E11" s="6" t="n"/>
      <c r="F11" s="6" t="n"/>
    </row>
    <row r="12">
      <c r="A12" s="7" t="inlineStr">
        <is>
          <t>Round 2</t>
        </is>
      </c>
      <c r="B12" s="7" t="inlineStr">
        <is>
          <t>W5</t>
        </is>
      </c>
      <c r="C12" s="8">
        <f>IF(E6="","",E6)</f>
        <v/>
      </c>
      <c r="D12" s="8">
        <f>IF(E7="","",E7)</f>
        <v/>
      </c>
      <c r="E12" s="6" t="n"/>
      <c r="F12" s="6" t="n"/>
    </row>
    <row r="13">
      <c r="A13" s="7" t="inlineStr">
        <is>
          <t>Round 2</t>
        </is>
      </c>
      <c r="B13" s="7" t="inlineStr">
        <is>
          <t>W6</t>
        </is>
      </c>
      <c r="C13" s="8">
        <f>IF(E8="","",E8)</f>
        <v/>
      </c>
      <c r="D13" s="8">
        <f>IF(E9="","",E9)</f>
        <v/>
      </c>
      <c r="E13" s="6" t="n"/>
      <c r="F13" s="6" t="n"/>
    </row>
    <row r="14">
      <c r="A14" s="9" t="inlineStr">
        <is>
          <t>Conference Final</t>
        </is>
      </c>
      <c r="B14" s="9" t="inlineStr">
        <is>
          <t>E7</t>
        </is>
      </c>
      <c r="C14" s="8">
        <f>IF(E10="","",E10)</f>
        <v/>
      </c>
      <c r="D14" s="8">
        <f>IF(E11="","",E11)</f>
        <v/>
      </c>
      <c r="E14" s="6" t="n"/>
      <c r="F14" s="6" t="n"/>
    </row>
    <row r="15">
      <c r="A15" s="9" t="inlineStr">
        <is>
          <t>Conference Final</t>
        </is>
      </c>
      <c r="B15" s="9" t="inlineStr">
        <is>
          <t>W7</t>
        </is>
      </c>
      <c r="C15" s="8">
        <f>IF(E12="","",E12)</f>
        <v/>
      </c>
      <c r="D15" s="8">
        <f>IF(E13="","",E13)</f>
        <v/>
      </c>
      <c r="E15" s="6" t="n"/>
      <c r="F15" s="6" t="n"/>
    </row>
    <row r="16">
      <c r="A16" s="10" t="inlineStr">
        <is>
          <t>Stanley Cup Final</t>
        </is>
      </c>
      <c r="B16" s="10" t="inlineStr">
        <is>
          <t>SCF</t>
        </is>
      </c>
      <c r="C16" s="8">
        <f>IF(E14="","",E14)</f>
        <v/>
      </c>
      <c r="D16" s="8">
        <f>IF(E15="","",E15)</f>
        <v/>
      </c>
      <c r="E16" s="6" t="n"/>
      <c r="F16" s="6" t="n"/>
    </row>
  </sheetData>
  <dataValidations count="30">
    <dataValidation sqref="E2" showDropDown="0" showInputMessage="0" showErrorMessage="0" allowBlank="1" errorTitle="Invalid winner" error="Winner must match Team 1 or Team 2." type="list">
      <formula1>=INDIRECT("C2:D2")</formula1>
    </dataValidation>
    <dataValidation sqref="F2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3" showDropDown="0" showInputMessage="0" showErrorMessage="0" allowBlank="1" errorTitle="Invalid winner" error="Winner must match Team 1 or Team 2." type="list">
      <formula1>=INDIRECT("C3:D3")</formula1>
    </dataValidation>
    <dataValidation sqref="F3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4" showDropDown="0" showInputMessage="0" showErrorMessage="0" allowBlank="1" errorTitle="Invalid winner" error="Winner must match Team 1 or Team 2." type="list">
      <formula1>=INDIRECT("C4:D4")</formula1>
    </dataValidation>
    <dataValidation sqref="F4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5" showDropDown="0" showInputMessage="0" showErrorMessage="0" allowBlank="1" errorTitle="Invalid winner" error="Winner must match Team 1 or Team 2." type="list">
      <formula1>=INDIRECT("C5:D5")</formula1>
    </dataValidation>
    <dataValidation sqref="F5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6" showDropDown="0" showInputMessage="0" showErrorMessage="0" allowBlank="1" errorTitle="Invalid winner" error="Winner must match Team 1 or Team 2." type="list">
      <formula1>=INDIRECT("C6:D6")</formula1>
    </dataValidation>
    <dataValidation sqref="F6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7" showDropDown="0" showInputMessage="0" showErrorMessage="0" allowBlank="1" errorTitle="Invalid winner" error="Winner must match Team 1 or Team 2." type="list">
      <formula1>=INDIRECT("C7:D7")</formula1>
    </dataValidation>
    <dataValidation sqref="F7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8" showDropDown="0" showInputMessage="0" showErrorMessage="0" allowBlank="1" errorTitle="Invalid winner" error="Winner must match Team 1 or Team 2." type="list">
      <formula1>=INDIRECT("C8:D8")</formula1>
    </dataValidation>
    <dataValidation sqref="F8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9" showDropDown="0" showInputMessage="0" showErrorMessage="0" allowBlank="1" errorTitle="Invalid winner" error="Winner must match Team 1 or Team 2." type="list">
      <formula1>=INDIRECT("C9:D9")</formula1>
    </dataValidation>
    <dataValidation sqref="F9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0" showDropDown="0" showInputMessage="0" showErrorMessage="0" allowBlank="1" errorTitle="Invalid winner" error="Winner must match Team 1 or Team 2." type="list">
      <formula1>=INDIRECT("C10:D10")</formula1>
    </dataValidation>
    <dataValidation sqref="F10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1" showDropDown="0" showInputMessage="0" showErrorMessage="0" allowBlank="1" errorTitle="Invalid winner" error="Winner must match Team 1 or Team 2." type="list">
      <formula1>=INDIRECT("C11:D11")</formula1>
    </dataValidation>
    <dataValidation sqref="F11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2" showDropDown="0" showInputMessage="0" showErrorMessage="0" allowBlank="1" errorTitle="Invalid winner" error="Winner must match Team 1 or Team 2." type="list">
      <formula1>=INDIRECT("C12:D12")</formula1>
    </dataValidation>
    <dataValidation sqref="F12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3" showDropDown="0" showInputMessage="0" showErrorMessage="0" allowBlank="1" errorTitle="Invalid winner" error="Winner must match Team 1 or Team 2." type="list">
      <formula1>=INDIRECT("C13:D13")</formula1>
    </dataValidation>
    <dataValidation sqref="F13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4" showDropDown="0" showInputMessage="0" showErrorMessage="0" allowBlank="1" errorTitle="Invalid winner" error="Winner must match Team 1 or Team 2." type="list">
      <formula1>=INDIRECT("C14:D14")</formula1>
    </dataValidation>
    <dataValidation sqref="F14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5" showDropDown="0" showInputMessage="0" showErrorMessage="0" allowBlank="1" errorTitle="Invalid winner" error="Winner must match Team 1 or Team 2." type="list">
      <formula1>=INDIRECT("C15:D15")</formula1>
    </dataValidation>
    <dataValidation sqref="F15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6" showDropDown="0" showInputMessage="0" showErrorMessage="0" allowBlank="1" errorTitle="Invalid winner" error="Winner must match Team 1 or Team 2." type="list">
      <formula1>=INDIRECT("C16:D16")</formula1>
    </dataValidation>
    <dataValidation sqref="F16" showDropDown="0" showInputMessage="0" showErrorMessage="0" allowBlank="1" errorTitle="Invalid games" error="Series length must be 4, 5, 6, or 7." type="whole" operator="between">
      <formula1>4</formula1>
      <formula2>7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7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4" customWidth="1" min="4" max="4"/>
    <col width="16" customWidth="1" min="5" max="5"/>
    <col width="10" customWidth="1" min="6" max="6"/>
    <col width="16" customWidth="1" min="7" max="7"/>
    <col width="10" customWidth="1" min="8" max="8"/>
    <col width="16" customWidth="1" min="9" max="9"/>
    <col width="10" customWidth="1" min="10" max="10"/>
    <col width="16" customWidth="1" min="11" max="11"/>
    <col width="10" customWidth="1" min="12" max="12"/>
    <col width="16" customWidth="1" min="13" max="13"/>
    <col width="10" customWidth="1" min="14" max="14"/>
    <col width="16" customWidth="1" min="15" max="15"/>
    <col width="10" customWidth="1" min="16" max="16"/>
    <col width="16" customWidth="1" min="17" max="17"/>
    <col width="10" customWidth="1" min="18" max="18"/>
    <col width="16" customWidth="1" min="19" max="19"/>
    <col width="10" customWidth="1" min="20" max="20"/>
    <col width="16" customWidth="1" min="21" max="21"/>
    <col width="10" customWidth="1" min="22" max="22"/>
    <col width="16" customWidth="1" min="23" max="23"/>
    <col width="10" customWidth="1" min="24" max="24"/>
    <col width="16" customWidth="1" min="25" max="25"/>
    <col width="10" customWidth="1" min="26" max="26"/>
    <col width="16" customWidth="1" min="27" max="27"/>
    <col width="10" customWidth="1" min="28" max="28"/>
    <col width="16" customWidth="1" min="29" max="29"/>
    <col width="10" customWidth="1" min="30" max="30"/>
    <col width="16" customWidth="1" min="31" max="31"/>
    <col width="10" customWidth="1" min="32" max="32"/>
    <col width="16" customWidth="1" min="33" max="33"/>
    <col width="10" customWidth="1" min="34" max="34"/>
    <col width="16" customWidth="1" min="35" max="35"/>
    <col width="10" customWidth="1" min="36" max="36"/>
    <col width="16" customWidth="1" min="37" max="37"/>
    <col width="10" customWidth="1" min="38" max="38"/>
    <col width="16" customWidth="1" min="39" max="39"/>
    <col width="10" customWidth="1" min="40" max="40"/>
    <col width="16" customWidth="1" min="41" max="41"/>
    <col width="10" customWidth="1" min="42" max="42"/>
    <col width="16" customWidth="1" min="43" max="43"/>
    <col width="10" customWidth="1" min="44" max="44"/>
  </cols>
  <sheetData>
    <row r="1">
      <c r="A1" s="4" t="inlineStr">
        <is>
          <t>Series  /  Actual Results</t>
        </is>
      </c>
      <c r="E1" s="11" t="inlineStr">
        <is>
          <t>Player 1</t>
        </is>
      </c>
      <c r="G1" s="11" t="inlineStr">
        <is>
          <t>Player 2</t>
        </is>
      </c>
      <c r="I1" s="11" t="inlineStr">
        <is>
          <t>Player 3</t>
        </is>
      </c>
      <c r="K1" s="11" t="inlineStr">
        <is>
          <t>Player 4</t>
        </is>
      </c>
      <c r="M1" s="11" t="inlineStr">
        <is>
          <t>Player 5</t>
        </is>
      </c>
      <c r="O1" s="11" t="inlineStr">
        <is>
          <t>Player 6</t>
        </is>
      </c>
      <c r="Q1" s="11" t="inlineStr">
        <is>
          <t>Player 7</t>
        </is>
      </c>
      <c r="S1" s="11" t="inlineStr">
        <is>
          <t>Player 8</t>
        </is>
      </c>
      <c r="U1" s="11" t="inlineStr">
        <is>
          <t>Player 9</t>
        </is>
      </c>
      <c r="W1" s="11" t="inlineStr">
        <is>
          <t>Player 10</t>
        </is>
      </c>
      <c r="Y1" s="11" t="inlineStr">
        <is>
          <t>Player 11</t>
        </is>
      </c>
      <c r="AA1" s="11" t="inlineStr">
        <is>
          <t>Player 12</t>
        </is>
      </c>
      <c r="AC1" s="11" t="inlineStr">
        <is>
          <t>Player 13</t>
        </is>
      </c>
      <c r="AE1" s="11" t="inlineStr">
        <is>
          <t>Player 14</t>
        </is>
      </c>
      <c r="AG1" s="11" t="inlineStr">
        <is>
          <t>Player 15</t>
        </is>
      </c>
      <c r="AI1" s="11" t="inlineStr">
        <is>
          <t>Player 16</t>
        </is>
      </c>
      <c r="AK1" s="11" t="inlineStr">
        <is>
          <t>Player 17</t>
        </is>
      </c>
      <c r="AM1" s="11" t="inlineStr">
        <is>
          <t>Player 18</t>
        </is>
      </c>
      <c r="AO1" s="11" t="inlineStr">
        <is>
          <t>Player 19</t>
        </is>
      </c>
      <c r="AQ1" s="11" t="inlineStr">
        <is>
          <t>Player 20</t>
        </is>
      </c>
    </row>
    <row r="2">
      <c r="A2" s="12" t="inlineStr">
        <is>
          <t>Round</t>
        </is>
      </c>
      <c r="B2" s="12" t="inlineStr">
        <is>
          <t>Series</t>
        </is>
      </c>
      <c r="C2" s="12" t="inlineStr">
        <is>
          <t>Actual Winner</t>
        </is>
      </c>
      <c r="D2" s="12" t="inlineStr">
        <is>
          <t>Actual Games</t>
        </is>
      </c>
      <c r="E2" s="12" t="inlineStr">
        <is>
          <t>Winner Pick</t>
        </is>
      </c>
      <c r="F2" s="12" t="inlineStr">
        <is>
          <t>Games Pick</t>
        </is>
      </c>
      <c r="G2" s="12" t="inlineStr">
        <is>
          <t>Winner Pick</t>
        </is>
      </c>
      <c r="H2" s="12" t="inlineStr">
        <is>
          <t>Games Pick</t>
        </is>
      </c>
      <c r="I2" s="12" t="inlineStr">
        <is>
          <t>Winner Pick</t>
        </is>
      </c>
      <c r="J2" s="12" t="inlineStr">
        <is>
          <t>Games Pick</t>
        </is>
      </c>
      <c r="K2" s="12" t="inlineStr">
        <is>
          <t>Winner Pick</t>
        </is>
      </c>
      <c r="L2" s="12" t="inlineStr">
        <is>
          <t>Games Pick</t>
        </is>
      </c>
      <c r="M2" s="12" t="inlineStr">
        <is>
          <t>Winner Pick</t>
        </is>
      </c>
      <c r="N2" s="12" t="inlineStr">
        <is>
          <t>Games Pick</t>
        </is>
      </c>
      <c r="O2" s="12" t="inlineStr">
        <is>
          <t>Winner Pick</t>
        </is>
      </c>
      <c r="P2" s="12" t="inlineStr">
        <is>
          <t>Games Pick</t>
        </is>
      </c>
      <c r="Q2" s="12" t="inlineStr">
        <is>
          <t>Winner Pick</t>
        </is>
      </c>
      <c r="R2" s="12" t="inlineStr">
        <is>
          <t>Games Pick</t>
        </is>
      </c>
      <c r="S2" s="12" t="inlineStr">
        <is>
          <t>Winner Pick</t>
        </is>
      </c>
      <c r="T2" s="12" t="inlineStr">
        <is>
          <t>Games Pick</t>
        </is>
      </c>
      <c r="U2" s="12" t="inlineStr">
        <is>
          <t>Winner Pick</t>
        </is>
      </c>
      <c r="V2" s="12" t="inlineStr">
        <is>
          <t>Games Pick</t>
        </is>
      </c>
      <c r="W2" s="12" t="inlineStr">
        <is>
          <t>Winner Pick</t>
        </is>
      </c>
      <c r="X2" s="12" t="inlineStr">
        <is>
          <t>Games Pick</t>
        </is>
      </c>
      <c r="Y2" s="12" t="inlineStr">
        <is>
          <t>Winner Pick</t>
        </is>
      </c>
      <c r="Z2" s="12" t="inlineStr">
        <is>
          <t>Games Pick</t>
        </is>
      </c>
      <c r="AA2" s="12" t="inlineStr">
        <is>
          <t>Winner Pick</t>
        </is>
      </c>
      <c r="AB2" s="12" t="inlineStr">
        <is>
          <t>Games Pick</t>
        </is>
      </c>
      <c r="AC2" s="12" t="inlineStr">
        <is>
          <t>Winner Pick</t>
        </is>
      </c>
      <c r="AD2" s="12" t="inlineStr">
        <is>
          <t>Games Pick</t>
        </is>
      </c>
      <c r="AE2" s="12" t="inlineStr">
        <is>
          <t>Winner Pick</t>
        </is>
      </c>
      <c r="AF2" s="12" t="inlineStr">
        <is>
          <t>Games Pick</t>
        </is>
      </c>
      <c r="AG2" s="12" t="inlineStr">
        <is>
          <t>Winner Pick</t>
        </is>
      </c>
      <c r="AH2" s="12" t="inlineStr">
        <is>
          <t>Games Pick</t>
        </is>
      </c>
      <c r="AI2" s="12" t="inlineStr">
        <is>
          <t>Winner Pick</t>
        </is>
      </c>
      <c r="AJ2" s="12" t="inlineStr">
        <is>
          <t>Games Pick</t>
        </is>
      </c>
      <c r="AK2" s="12" t="inlineStr">
        <is>
          <t>Winner Pick</t>
        </is>
      </c>
      <c r="AL2" s="12" t="inlineStr">
        <is>
          <t>Games Pick</t>
        </is>
      </c>
      <c r="AM2" s="12" t="inlineStr">
        <is>
          <t>Winner Pick</t>
        </is>
      </c>
      <c r="AN2" s="12" t="inlineStr">
        <is>
          <t>Games Pick</t>
        </is>
      </c>
      <c r="AO2" s="12" t="inlineStr">
        <is>
          <t>Winner Pick</t>
        </is>
      </c>
      <c r="AP2" s="12" t="inlineStr">
        <is>
          <t>Games Pick</t>
        </is>
      </c>
      <c r="AQ2" s="12" t="inlineStr">
        <is>
          <t>Winner Pick</t>
        </is>
      </c>
      <c r="AR2" s="12" t="inlineStr">
        <is>
          <t>Games Pick</t>
        </is>
      </c>
    </row>
    <row r="3">
      <c r="A3" s="5" t="inlineStr">
        <is>
          <t>Round 1</t>
        </is>
      </c>
      <c r="B3" s="5" t="inlineStr">
        <is>
          <t>E1</t>
        </is>
      </c>
      <c r="C3" s="8">
        <f>IF(Bracket!E2="","",Bracket!E2)</f>
        <v/>
      </c>
      <c r="D3" s="8">
        <f>IF(Bracket!F2="","",Bracket!F2)</f>
        <v/>
      </c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</row>
    <row r="4">
      <c r="A4" s="5" t="inlineStr">
        <is>
          <t>Round 1</t>
        </is>
      </c>
      <c r="B4" s="5" t="inlineStr">
        <is>
          <t>E2</t>
        </is>
      </c>
      <c r="C4" s="8">
        <f>IF(Bracket!E3="","",Bracket!E3)</f>
        <v/>
      </c>
      <c r="D4" s="8">
        <f>IF(Bracket!F3="","",Bracket!F3)</f>
        <v/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</row>
    <row r="5">
      <c r="A5" s="5" t="inlineStr">
        <is>
          <t>Round 1</t>
        </is>
      </c>
      <c r="B5" s="5" t="inlineStr">
        <is>
          <t>E3</t>
        </is>
      </c>
      <c r="C5" s="8">
        <f>IF(Bracket!E4="","",Bracket!E4)</f>
        <v/>
      </c>
      <c r="D5" s="8">
        <f>IF(Bracket!F4="","",Bracket!F4)</f>
        <v/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</row>
    <row r="6">
      <c r="A6" s="5" t="inlineStr">
        <is>
          <t>Round 1</t>
        </is>
      </c>
      <c r="B6" s="5" t="inlineStr">
        <is>
          <t>E4</t>
        </is>
      </c>
      <c r="C6" s="8">
        <f>IF(Bracket!E5="","",Bracket!E5)</f>
        <v/>
      </c>
      <c r="D6" s="8">
        <f>IF(Bracket!F5="","",Bracket!F5)</f>
        <v/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</row>
    <row r="7">
      <c r="A7" s="5" t="inlineStr">
        <is>
          <t>Round 1</t>
        </is>
      </c>
      <c r="B7" s="5" t="inlineStr">
        <is>
          <t>W1</t>
        </is>
      </c>
      <c r="C7" s="8">
        <f>IF(Bracket!E6="","",Bracket!E6)</f>
        <v/>
      </c>
      <c r="D7" s="8">
        <f>IF(Bracket!F6="","",Bracket!F6)</f>
        <v/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</row>
    <row r="8">
      <c r="A8" s="5" t="inlineStr">
        <is>
          <t>Round 1</t>
        </is>
      </c>
      <c r="B8" s="5" t="inlineStr">
        <is>
          <t>W2</t>
        </is>
      </c>
      <c r="C8" s="8">
        <f>IF(Bracket!E7="","",Bracket!E7)</f>
        <v/>
      </c>
      <c r="D8" s="8">
        <f>IF(Bracket!F7="","",Bracket!F7)</f>
        <v/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</row>
    <row r="9">
      <c r="A9" s="5" t="inlineStr">
        <is>
          <t>Round 1</t>
        </is>
      </c>
      <c r="B9" s="5" t="inlineStr">
        <is>
          <t>W3</t>
        </is>
      </c>
      <c r="C9" s="8">
        <f>IF(Bracket!E8="","",Bracket!E8)</f>
        <v/>
      </c>
      <c r="D9" s="8">
        <f>IF(Bracket!F8="","",Bracket!F8)</f>
        <v/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</row>
    <row r="10">
      <c r="A10" s="5" t="inlineStr">
        <is>
          <t>Round 1</t>
        </is>
      </c>
      <c r="B10" s="5" t="inlineStr">
        <is>
          <t>W4</t>
        </is>
      </c>
      <c r="C10" s="8">
        <f>IF(Bracket!E9="","",Bracket!E9)</f>
        <v/>
      </c>
      <c r="D10" s="8">
        <f>IF(Bracket!F9="","",Bracket!F9)</f>
        <v/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</row>
    <row r="11">
      <c r="A11" s="7" t="inlineStr">
        <is>
          <t>Round 2</t>
        </is>
      </c>
      <c r="B11" s="7" t="inlineStr">
        <is>
          <t>E5</t>
        </is>
      </c>
      <c r="C11" s="8">
        <f>IF(Bracket!E10="","",Bracket!E10)</f>
        <v/>
      </c>
      <c r="D11" s="8">
        <f>IF(Bracket!F10="","",Bracket!F10)</f>
        <v/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</row>
    <row r="12">
      <c r="A12" s="7" t="inlineStr">
        <is>
          <t>Round 2</t>
        </is>
      </c>
      <c r="B12" s="7" t="inlineStr">
        <is>
          <t>E6</t>
        </is>
      </c>
      <c r="C12" s="8">
        <f>IF(Bracket!E11="","",Bracket!E11)</f>
        <v/>
      </c>
      <c r="D12" s="8">
        <f>IF(Bracket!F11="","",Bracket!F11)</f>
        <v/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</row>
    <row r="13">
      <c r="A13" s="7" t="inlineStr">
        <is>
          <t>Round 2</t>
        </is>
      </c>
      <c r="B13" s="7" t="inlineStr">
        <is>
          <t>W5</t>
        </is>
      </c>
      <c r="C13" s="8">
        <f>IF(Bracket!E12="","",Bracket!E12)</f>
        <v/>
      </c>
      <c r="D13" s="8">
        <f>IF(Bracket!F12="","",Bracket!F12)</f>
        <v/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</row>
    <row r="14">
      <c r="A14" s="7" t="inlineStr">
        <is>
          <t>Round 2</t>
        </is>
      </c>
      <c r="B14" s="7" t="inlineStr">
        <is>
          <t>W6</t>
        </is>
      </c>
      <c r="C14" s="8">
        <f>IF(Bracket!E13="","",Bracket!E13)</f>
        <v/>
      </c>
      <c r="D14" s="8">
        <f>IF(Bracket!F13="","",Bracket!F13)</f>
        <v/>
      </c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</row>
    <row r="15">
      <c r="A15" s="9" t="inlineStr">
        <is>
          <t>Conference Final</t>
        </is>
      </c>
      <c r="B15" s="9" t="inlineStr">
        <is>
          <t>E7</t>
        </is>
      </c>
      <c r="C15" s="8">
        <f>IF(Bracket!E14="","",Bracket!E14)</f>
        <v/>
      </c>
      <c r="D15" s="8">
        <f>IF(Bracket!F14="","",Bracket!F14)</f>
        <v/>
      </c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</row>
    <row r="16">
      <c r="A16" s="9" t="inlineStr">
        <is>
          <t>Conference Final</t>
        </is>
      </c>
      <c r="B16" s="9" t="inlineStr">
        <is>
          <t>W7</t>
        </is>
      </c>
      <c r="C16" s="8">
        <f>IF(Bracket!E15="","",Bracket!E15)</f>
        <v/>
      </c>
      <c r="D16" s="8">
        <f>IF(Bracket!F15="","",Bracket!F15)</f>
        <v/>
      </c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</row>
    <row r="17">
      <c r="A17" s="10" t="inlineStr">
        <is>
          <t>Stanley Cup Final</t>
        </is>
      </c>
      <c r="B17" s="10" t="inlineStr">
        <is>
          <t>SCF</t>
        </is>
      </c>
      <c r="C17" s="8">
        <f>IF(Bracket!E16="","",Bracket!E16)</f>
        <v/>
      </c>
      <c r="D17" s="8">
        <f>IF(Bracket!F16="","",Bracket!F16)</f>
        <v/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  <c r="AP17" s="6" t="n"/>
      <c r="AQ17" s="6" t="n"/>
      <c r="AR17" s="6" t="n"/>
    </row>
  </sheetData>
  <mergeCells count="21">
    <mergeCell ref="AG1:AH1"/>
    <mergeCell ref="AI1:AJ1"/>
    <mergeCell ref="AA1:AB1"/>
    <mergeCell ref="M1:N1"/>
    <mergeCell ref="E1:F1"/>
    <mergeCell ref="K1:L1"/>
    <mergeCell ref="W1:X1"/>
    <mergeCell ref="O1:P1"/>
    <mergeCell ref="Y1:Z1"/>
    <mergeCell ref="AM1:AN1"/>
    <mergeCell ref="A1:D1"/>
    <mergeCell ref="Q1:R1"/>
    <mergeCell ref="AK1:AL1"/>
    <mergeCell ref="AC1:AD1"/>
    <mergeCell ref="AO1:AP1"/>
    <mergeCell ref="AE1:AF1"/>
    <mergeCell ref="AQ1:AR1"/>
    <mergeCell ref="I1:J1"/>
    <mergeCell ref="G1:H1"/>
    <mergeCell ref="S1:T1"/>
    <mergeCell ref="U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9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4" t="inlineStr">
        <is>
          <t>Series scoring</t>
        </is>
      </c>
      <c r="E1" s="4">
        <f>Picks!E1</f>
        <v/>
      </c>
      <c r="F1" s="4">
        <f>Picks!G1</f>
        <v/>
      </c>
      <c r="G1" s="4">
        <f>Picks!I1</f>
        <v/>
      </c>
      <c r="H1" s="4">
        <f>Picks!K1</f>
        <v/>
      </c>
      <c r="I1" s="4">
        <f>Picks!M1</f>
        <v/>
      </c>
      <c r="J1" s="4">
        <f>Picks!O1</f>
        <v/>
      </c>
      <c r="K1" s="4">
        <f>Picks!Q1</f>
        <v/>
      </c>
      <c r="L1" s="4">
        <f>Picks!S1</f>
        <v/>
      </c>
      <c r="M1" s="4">
        <f>Picks!U1</f>
        <v/>
      </c>
      <c r="N1" s="4">
        <f>Picks!W1</f>
        <v/>
      </c>
      <c r="O1" s="4">
        <f>Picks!Y1</f>
        <v/>
      </c>
      <c r="P1" s="4">
        <f>Picks!AA1</f>
        <v/>
      </c>
      <c r="Q1" s="4">
        <f>Picks!AC1</f>
        <v/>
      </c>
      <c r="R1" s="4">
        <f>Picks!AE1</f>
        <v/>
      </c>
      <c r="S1" s="4">
        <f>Picks!AG1</f>
        <v/>
      </c>
      <c r="T1" s="4">
        <f>Picks!AI1</f>
        <v/>
      </c>
      <c r="U1" s="4">
        <f>Picks!AK1</f>
        <v/>
      </c>
      <c r="V1" s="4">
        <f>Picks!AM1</f>
        <v/>
      </c>
      <c r="W1" s="4">
        <f>Picks!AO1</f>
        <v/>
      </c>
      <c r="X1" s="4">
        <f>Picks!AQ1</f>
        <v/>
      </c>
    </row>
    <row r="2">
      <c r="A2" s="12" t="inlineStr">
        <is>
          <t>Round</t>
        </is>
      </c>
      <c r="B2" s="12" t="inlineStr">
        <is>
          <t>Series</t>
        </is>
      </c>
      <c r="C2" s="12" t="inlineStr">
        <is>
          <t>Round Pts</t>
        </is>
      </c>
      <c r="D2" s="12" t="inlineStr">
        <is>
          <t>Actual Winner</t>
        </is>
      </c>
      <c r="E2" s="12" t="inlineStr">
        <is>
          <t>Points</t>
        </is>
      </c>
      <c r="F2" s="12" t="inlineStr">
        <is>
          <t>Points</t>
        </is>
      </c>
      <c r="G2" s="12" t="inlineStr">
        <is>
          <t>Points</t>
        </is>
      </c>
      <c r="H2" s="12" t="inlineStr">
        <is>
          <t>Points</t>
        </is>
      </c>
      <c r="I2" s="12" t="inlineStr">
        <is>
          <t>Points</t>
        </is>
      </c>
      <c r="J2" s="12" t="inlineStr">
        <is>
          <t>Points</t>
        </is>
      </c>
      <c r="K2" s="12" t="inlineStr">
        <is>
          <t>Points</t>
        </is>
      </c>
      <c r="L2" s="12" t="inlineStr">
        <is>
          <t>Points</t>
        </is>
      </c>
      <c r="M2" s="12" t="inlineStr">
        <is>
          <t>Points</t>
        </is>
      </c>
      <c r="N2" s="12" t="inlineStr">
        <is>
          <t>Points</t>
        </is>
      </c>
      <c r="O2" s="12" t="inlineStr">
        <is>
          <t>Points</t>
        </is>
      </c>
      <c r="P2" s="12" t="inlineStr">
        <is>
          <t>Points</t>
        </is>
      </c>
      <c r="Q2" s="12" t="inlineStr">
        <is>
          <t>Points</t>
        </is>
      </c>
      <c r="R2" s="12" t="inlineStr">
        <is>
          <t>Points</t>
        </is>
      </c>
      <c r="S2" s="12" t="inlineStr">
        <is>
          <t>Points</t>
        </is>
      </c>
      <c r="T2" s="12" t="inlineStr">
        <is>
          <t>Points</t>
        </is>
      </c>
      <c r="U2" s="12" t="inlineStr">
        <is>
          <t>Points</t>
        </is>
      </c>
      <c r="V2" s="12" t="inlineStr">
        <is>
          <t>Points</t>
        </is>
      </c>
      <c r="W2" s="12" t="inlineStr">
        <is>
          <t>Points</t>
        </is>
      </c>
      <c r="X2" s="12" t="inlineStr">
        <is>
          <t>Points</t>
        </is>
      </c>
    </row>
    <row r="3">
      <c r="A3" s="5" t="inlineStr">
        <is>
          <t>Round 1</t>
        </is>
      </c>
      <c r="B3" s="5" t="inlineStr">
        <is>
          <t>E1</t>
        </is>
      </c>
      <c r="C3" s="8">
        <f>R1_PTS</f>
        <v/>
      </c>
      <c r="D3" s="8">
        <f>Picks!C3</f>
        <v/>
      </c>
      <c r="E3" s="8">
        <f>IF(Picks!C3="","",IF(Picks!E3=Picks!C3,$C3+IF(AND(Picks!F3&lt;&gt;"",Picks!F3=Picks!D3),GAMES_BONUS,0),0))</f>
        <v/>
      </c>
      <c r="F3" s="8">
        <f>IF(Picks!C3="","",IF(Picks!G3=Picks!C3,$C3+IF(AND(Picks!H3&lt;&gt;"",Picks!H3=Picks!D3),GAMES_BONUS,0),0))</f>
        <v/>
      </c>
      <c r="G3" s="8">
        <f>IF(Picks!C3="","",IF(Picks!I3=Picks!C3,$C3+IF(AND(Picks!J3&lt;&gt;"",Picks!J3=Picks!D3),GAMES_BONUS,0),0))</f>
        <v/>
      </c>
      <c r="H3" s="8">
        <f>IF(Picks!C3="","",IF(Picks!K3=Picks!C3,$C3+IF(AND(Picks!L3&lt;&gt;"",Picks!L3=Picks!D3),GAMES_BONUS,0),0))</f>
        <v/>
      </c>
      <c r="I3" s="8">
        <f>IF(Picks!C3="","",IF(Picks!M3=Picks!C3,$C3+IF(AND(Picks!N3&lt;&gt;"",Picks!N3=Picks!D3),GAMES_BONUS,0),0))</f>
        <v/>
      </c>
      <c r="J3" s="8">
        <f>IF(Picks!C3="","",IF(Picks!O3=Picks!C3,$C3+IF(AND(Picks!P3&lt;&gt;"",Picks!P3=Picks!D3),GAMES_BONUS,0),0))</f>
        <v/>
      </c>
      <c r="K3" s="8">
        <f>IF(Picks!C3="","",IF(Picks!Q3=Picks!C3,$C3+IF(AND(Picks!R3&lt;&gt;"",Picks!R3=Picks!D3),GAMES_BONUS,0),0))</f>
        <v/>
      </c>
      <c r="L3" s="8">
        <f>IF(Picks!C3="","",IF(Picks!S3=Picks!C3,$C3+IF(AND(Picks!T3&lt;&gt;"",Picks!T3=Picks!D3),GAMES_BONUS,0),0))</f>
        <v/>
      </c>
      <c r="M3" s="8">
        <f>IF(Picks!C3="","",IF(Picks!U3=Picks!C3,$C3+IF(AND(Picks!V3&lt;&gt;"",Picks!V3=Picks!D3),GAMES_BONUS,0),0))</f>
        <v/>
      </c>
      <c r="N3" s="8">
        <f>IF(Picks!C3="","",IF(Picks!W3=Picks!C3,$C3+IF(AND(Picks!X3&lt;&gt;"",Picks!X3=Picks!D3),GAMES_BONUS,0),0))</f>
        <v/>
      </c>
      <c r="O3" s="8">
        <f>IF(Picks!C3="","",IF(Picks!Y3=Picks!C3,$C3+IF(AND(Picks!Z3&lt;&gt;"",Picks!Z3=Picks!D3),GAMES_BONUS,0),0))</f>
        <v/>
      </c>
      <c r="P3" s="8">
        <f>IF(Picks!C3="","",IF(Picks!AA3=Picks!C3,$C3+IF(AND(Picks!AB3&lt;&gt;"",Picks!AB3=Picks!D3),GAMES_BONUS,0),0))</f>
        <v/>
      </c>
      <c r="Q3" s="8">
        <f>IF(Picks!C3="","",IF(Picks!AC3=Picks!C3,$C3+IF(AND(Picks!AD3&lt;&gt;"",Picks!AD3=Picks!D3),GAMES_BONUS,0),0))</f>
        <v/>
      </c>
      <c r="R3" s="8">
        <f>IF(Picks!C3="","",IF(Picks!AE3=Picks!C3,$C3+IF(AND(Picks!AF3&lt;&gt;"",Picks!AF3=Picks!D3),GAMES_BONUS,0),0))</f>
        <v/>
      </c>
      <c r="S3" s="8">
        <f>IF(Picks!C3="","",IF(Picks!AG3=Picks!C3,$C3+IF(AND(Picks!AH3&lt;&gt;"",Picks!AH3=Picks!D3),GAMES_BONUS,0),0))</f>
        <v/>
      </c>
      <c r="T3" s="8">
        <f>IF(Picks!C3="","",IF(Picks!AI3=Picks!C3,$C3+IF(AND(Picks!AJ3&lt;&gt;"",Picks!AJ3=Picks!D3),GAMES_BONUS,0),0))</f>
        <v/>
      </c>
      <c r="U3" s="8">
        <f>IF(Picks!C3="","",IF(Picks!AK3=Picks!C3,$C3+IF(AND(Picks!AL3&lt;&gt;"",Picks!AL3=Picks!D3),GAMES_BONUS,0),0))</f>
        <v/>
      </c>
      <c r="V3" s="8">
        <f>IF(Picks!C3="","",IF(Picks!AM3=Picks!C3,$C3+IF(AND(Picks!AN3&lt;&gt;"",Picks!AN3=Picks!D3),GAMES_BONUS,0),0))</f>
        <v/>
      </c>
      <c r="W3" s="8">
        <f>IF(Picks!C3="","",IF(Picks!AO3=Picks!C3,$C3+IF(AND(Picks!AP3&lt;&gt;"",Picks!AP3=Picks!D3),GAMES_BONUS,0),0))</f>
        <v/>
      </c>
      <c r="X3" s="8">
        <f>IF(Picks!C3="","",IF(Picks!AQ3=Picks!C3,$C3+IF(AND(Picks!AR3&lt;&gt;"",Picks!AR3=Picks!D3),GAMES_BONUS,0),0))</f>
        <v/>
      </c>
    </row>
    <row r="4">
      <c r="A4" s="5" t="inlineStr">
        <is>
          <t>Round 1</t>
        </is>
      </c>
      <c r="B4" s="5" t="inlineStr">
        <is>
          <t>E2</t>
        </is>
      </c>
      <c r="C4" s="8">
        <f>R1_PTS</f>
        <v/>
      </c>
      <c r="D4" s="8">
        <f>Picks!C4</f>
        <v/>
      </c>
      <c r="E4" s="8">
        <f>IF(Picks!C4="","",IF(Picks!E4=Picks!C4,$C4+IF(AND(Picks!F4&lt;&gt;"",Picks!F4=Picks!D4),GAMES_BONUS,0),0))</f>
        <v/>
      </c>
      <c r="F4" s="8">
        <f>IF(Picks!C4="","",IF(Picks!G4=Picks!C4,$C4+IF(AND(Picks!H4&lt;&gt;"",Picks!H4=Picks!D4),GAMES_BONUS,0),0))</f>
        <v/>
      </c>
      <c r="G4" s="8">
        <f>IF(Picks!C4="","",IF(Picks!I4=Picks!C4,$C4+IF(AND(Picks!J4&lt;&gt;"",Picks!J4=Picks!D4),GAMES_BONUS,0),0))</f>
        <v/>
      </c>
      <c r="H4" s="8">
        <f>IF(Picks!C4="","",IF(Picks!K4=Picks!C4,$C4+IF(AND(Picks!L4&lt;&gt;"",Picks!L4=Picks!D4),GAMES_BONUS,0),0))</f>
        <v/>
      </c>
      <c r="I4" s="8">
        <f>IF(Picks!C4="","",IF(Picks!M4=Picks!C4,$C4+IF(AND(Picks!N4&lt;&gt;"",Picks!N4=Picks!D4),GAMES_BONUS,0),0))</f>
        <v/>
      </c>
      <c r="J4" s="8">
        <f>IF(Picks!C4="","",IF(Picks!O4=Picks!C4,$C4+IF(AND(Picks!P4&lt;&gt;"",Picks!P4=Picks!D4),GAMES_BONUS,0),0))</f>
        <v/>
      </c>
      <c r="K4" s="8">
        <f>IF(Picks!C4="","",IF(Picks!Q4=Picks!C4,$C4+IF(AND(Picks!R4&lt;&gt;"",Picks!R4=Picks!D4),GAMES_BONUS,0),0))</f>
        <v/>
      </c>
      <c r="L4" s="8">
        <f>IF(Picks!C4="","",IF(Picks!S4=Picks!C4,$C4+IF(AND(Picks!T4&lt;&gt;"",Picks!T4=Picks!D4),GAMES_BONUS,0),0))</f>
        <v/>
      </c>
      <c r="M4" s="8">
        <f>IF(Picks!C4="","",IF(Picks!U4=Picks!C4,$C4+IF(AND(Picks!V4&lt;&gt;"",Picks!V4=Picks!D4),GAMES_BONUS,0),0))</f>
        <v/>
      </c>
      <c r="N4" s="8">
        <f>IF(Picks!C4="","",IF(Picks!W4=Picks!C4,$C4+IF(AND(Picks!X4&lt;&gt;"",Picks!X4=Picks!D4),GAMES_BONUS,0),0))</f>
        <v/>
      </c>
      <c r="O4" s="8">
        <f>IF(Picks!C4="","",IF(Picks!Y4=Picks!C4,$C4+IF(AND(Picks!Z4&lt;&gt;"",Picks!Z4=Picks!D4),GAMES_BONUS,0),0))</f>
        <v/>
      </c>
      <c r="P4" s="8">
        <f>IF(Picks!C4="","",IF(Picks!AA4=Picks!C4,$C4+IF(AND(Picks!AB4&lt;&gt;"",Picks!AB4=Picks!D4),GAMES_BONUS,0),0))</f>
        <v/>
      </c>
      <c r="Q4" s="8">
        <f>IF(Picks!C4="","",IF(Picks!AC4=Picks!C4,$C4+IF(AND(Picks!AD4&lt;&gt;"",Picks!AD4=Picks!D4),GAMES_BONUS,0),0))</f>
        <v/>
      </c>
      <c r="R4" s="8">
        <f>IF(Picks!C4="","",IF(Picks!AE4=Picks!C4,$C4+IF(AND(Picks!AF4&lt;&gt;"",Picks!AF4=Picks!D4),GAMES_BONUS,0),0))</f>
        <v/>
      </c>
      <c r="S4" s="8">
        <f>IF(Picks!C4="","",IF(Picks!AG4=Picks!C4,$C4+IF(AND(Picks!AH4&lt;&gt;"",Picks!AH4=Picks!D4),GAMES_BONUS,0),0))</f>
        <v/>
      </c>
      <c r="T4" s="8">
        <f>IF(Picks!C4="","",IF(Picks!AI4=Picks!C4,$C4+IF(AND(Picks!AJ4&lt;&gt;"",Picks!AJ4=Picks!D4),GAMES_BONUS,0),0))</f>
        <v/>
      </c>
      <c r="U4" s="8">
        <f>IF(Picks!C4="","",IF(Picks!AK4=Picks!C4,$C4+IF(AND(Picks!AL4&lt;&gt;"",Picks!AL4=Picks!D4),GAMES_BONUS,0),0))</f>
        <v/>
      </c>
      <c r="V4" s="8">
        <f>IF(Picks!C4="","",IF(Picks!AM4=Picks!C4,$C4+IF(AND(Picks!AN4&lt;&gt;"",Picks!AN4=Picks!D4),GAMES_BONUS,0),0))</f>
        <v/>
      </c>
      <c r="W4" s="8">
        <f>IF(Picks!C4="","",IF(Picks!AO4=Picks!C4,$C4+IF(AND(Picks!AP4&lt;&gt;"",Picks!AP4=Picks!D4),GAMES_BONUS,0),0))</f>
        <v/>
      </c>
      <c r="X4" s="8">
        <f>IF(Picks!C4="","",IF(Picks!AQ4=Picks!C4,$C4+IF(AND(Picks!AR4&lt;&gt;"",Picks!AR4=Picks!D4),GAMES_BONUS,0),0))</f>
        <v/>
      </c>
    </row>
    <row r="5">
      <c r="A5" s="5" t="inlineStr">
        <is>
          <t>Round 1</t>
        </is>
      </c>
      <c r="B5" s="5" t="inlineStr">
        <is>
          <t>E3</t>
        </is>
      </c>
      <c r="C5" s="8">
        <f>R1_PTS</f>
        <v/>
      </c>
      <c r="D5" s="8">
        <f>Picks!C5</f>
        <v/>
      </c>
      <c r="E5" s="8">
        <f>IF(Picks!C5="","",IF(Picks!E5=Picks!C5,$C5+IF(AND(Picks!F5&lt;&gt;"",Picks!F5=Picks!D5),GAMES_BONUS,0),0))</f>
        <v/>
      </c>
      <c r="F5" s="8">
        <f>IF(Picks!C5="","",IF(Picks!G5=Picks!C5,$C5+IF(AND(Picks!H5&lt;&gt;"",Picks!H5=Picks!D5),GAMES_BONUS,0),0))</f>
        <v/>
      </c>
      <c r="G5" s="8">
        <f>IF(Picks!C5="","",IF(Picks!I5=Picks!C5,$C5+IF(AND(Picks!J5&lt;&gt;"",Picks!J5=Picks!D5),GAMES_BONUS,0),0))</f>
        <v/>
      </c>
      <c r="H5" s="8">
        <f>IF(Picks!C5="","",IF(Picks!K5=Picks!C5,$C5+IF(AND(Picks!L5&lt;&gt;"",Picks!L5=Picks!D5),GAMES_BONUS,0),0))</f>
        <v/>
      </c>
      <c r="I5" s="8">
        <f>IF(Picks!C5="","",IF(Picks!M5=Picks!C5,$C5+IF(AND(Picks!N5&lt;&gt;"",Picks!N5=Picks!D5),GAMES_BONUS,0),0))</f>
        <v/>
      </c>
      <c r="J5" s="8">
        <f>IF(Picks!C5="","",IF(Picks!O5=Picks!C5,$C5+IF(AND(Picks!P5&lt;&gt;"",Picks!P5=Picks!D5),GAMES_BONUS,0),0))</f>
        <v/>
      </c>
      <c r="K5" s="8">
        <f>IF(Picks!C5="","",IF(Picks!Q5=Picks!C5,$C5+IF(AND(Picks!R5&lt;&gt;"",Picks!R5=Picks!D5),GAMES_BONUS,0),0))</f>
        <v/>
      </c>
      <c r="L5" s="8">
        <f>IF(Picks!C5="","",IF(Picks!S5=Picks!C5,$C5+IF(AND(Picks!T5&lt;&gt;"",Picks!T5=Picks!D5),GAMES_BONUS,0),0))</f>
        <v/>
      </c>
      <c r="M5" s="8">
        <f>IF(Picks!C5="","",IF(Picks!U5=Picks!C5,$C5+IF(AND(Picks!V5&lt;&gt;"",Picks!V5=Picks!D5),GAMES_BONUS,0),0))</f>
        <v/>
      </c>
      <c r="N5" s="8">
        <f>IF(Picks!C5="","",IF(Picks!W5=Picks!C5,$C5+IF(AND(Picks!X5&lt;&gt;"",Picks!X5=Picks!D5),GAMES_BONUS,0),0))</f>
        <v/>
      </c>
      <c r="O5" s="8">
        <f>IF(Picks!C5="","",IF(Picks!Y5=Picks!C5,$C5+IF(AND(Picks!Z5&lt;&gt;"",Picks!Z5=Picks!D5),GAMES_BONUS,0),0))</f>
        <v/>
      </c>
      <c r="P5" s="8">
        <f>IF(Picks!C5="","",IF(Picks!AA5=Picks!C5,$C5+IF(AND(Picks!AB5&lt;&gt;"",Picks!AB5=Picks!D5),GAMES_BONUS,0),0))</f>
        <v/>
      </c>
      <c r="Q5" s="8">
        <f>IF(Picks!C5="","",IF(Picks!AC5=Picks!C5,$C5+IF(AND(Picks!AD5&lt;&gt;"",Picks!AD5=Picks!D5),GAMES_BONUS,0),0))</f>
        <v/>
      </c>
      <c r="R5" s="8">
        <f>IF(Picks!C5="","",IF(Picks!AE5=Picks!C5,$C5+IF(AND(Picks!AF5&lt;&gt;"",Picks!AF5=Picks!D5),GAMES_BONUS,0),0))</f>
        <v/>
      </c>
      <c r="S5" s="8">
        <f>IF(Picks!C5="","",IF(Picks!AG5=Picks!C5,$C5+IF(AND(Picks!AH5&lt;&gt;"",Picks!AH5=Picks!D5),GAMES_BONUS,0),0))</f>
        <v/>
      </c>
      <c r="T5" s="8">
        <f>IF(Picks!C5="","",IF(Picks!AI5=Picks!C5,$C5+IF(AND(Picks!AJ5&lt;&gt;"",Picks!AJ5=Picks!D5),GAMES_BONUS,0),0))</f>
        <v/>
      </c>
      <c r="U5" s="8">
        <f>IF(Picks!C5="","",IF(Picks!AK5=Picks!C5,$C5+IF(AND(Picks!AL5&lt;&gt;"",Picks!AL5=Picks!D5),GAMES_BONUS,0),0))</f>
        <v/>
      </c>
      <c r="V5" s="8">
        <f>IF(Picks!C5="","",IF(Picks!AM5=Picks!C5,$C5+IF(AND(Picks!AN5&lt;&gt;"",Picks!AN5=Picks!D5),GAMES_BONUS,0),0))</f>
        <v/>
      </c>
      <c r="W5" s="8">
        <f>IF(Picks!C5="","",IF(Picks!AO5=Picks!C5,$C5+IF(AND(Picks!AP5&lt;&gt;"",Picks!AP5=Picks!D5),GAMES_BONUS,0),0))</f>
        <v/>
      </c>
      <c r="X5" s="8">
        <f>IF(Picks!C5="","",IF(Picks!AQ5=Picks!C5,$C5+IF(AND(Picks!AR5&lt;&gt;"",Picks!AR5=Picks!D5),GAMES_BONUS,0),0))</f>
        <v/>
      </c>
    </row>
    <row r="6">
      <c r="A6" s="5" t="inlineStr">
        <is>
          <t>Round 1</t>
        </is>
      </c>
      <c r="B6" s="5" t="inlineStr">
        <is>
          <t>E4</t>
        </is>
      </c>
      <c r="C6" s="8">
        <f>R1_PTS</f>
        <v/>
      </c>
      <c r="D6" s="8">
        <f>Picks!C6</f>
        <v/>
      </c>
      <c r="E6" s="8">
        <f>IF(Picks!C6="","",IF(Picks!E6=Picks!C6,$C6+IF(AND(Picks!F6&lt;&gt;"",Picks!F6=Picks!D6),GAMES_BONUS,0),0))</f>
        <v/>
      </c>
      <c r="F6" s="8">
        <f>IF(Picks!C6="","",IF(Picks!G6=Picks!C6,$C6+IF(AND(Picks!H6&lt;&gt;"",Picks!H6=Picks!D6),GAMES_BONUS,0),0))</f>
        <v/>
      </c>
      <c r="G6" s="8">
        <f>IF(Picks!C6="","",IF(Picks!I6=Picks!C6,$C6+IF(AND(Picks!J6&lt;&gt;"",Picks!J6=Picks!D6),GAMES_BONUS,0),0))</f>
        <v/>
      </c>
      <c r="H6" s="8">
        <f>IF(Picks!C6="","",IF(Picks!K6=Picks!C6,$C6+IF(AND(Picks!L6&lt;&gt;"",Picks!L6=Picks!D6),GAMES_BONUS,0),0))</f>
        <v/>
      </c>
      <c r="I6" s="8">
        <f>IF(Picks!C6="","",IF(Picks!M6=Picks!C6,$C6+IF(AND(Picks!N6&lt;&gt;"",Picks!N6=Picks!D6),GAMES_BONUS,0),0))</f>
        <v/>
      </c>
      <c r="J6" s="8">
        <f>IF(Picks!C6="","",IF(Picks!O6=Picks!C6,$C6+IF(AND(Picks!P6&lt;&gt;"",Picks!P6=Picks!D6),GAMES_BONUS,0),0))</f>
        <v/>
      </c>
      <c r="K6" s="8">
        <f>IF(Picks!C6="","",IF(Picks!Q6=Picks!C6,$C6+IF(AND(Picks!R6&lt;&gt;"",Picks!R6=Picks!D6),GAMES_BONUS,0),0))</f>
        <v/>
      </c>
      <c r="L6" s="8">
        <f>IF(Picks!C6="","",IF(Picks!S6=Picks!C6,$C6+IF(AND(Picks!T6&lt;&gt;"",Picks!T6=Picks!D6),GAMES_BONUS,0),0))</f>
        <v/>
      </c>
      <c r="M6" s="8">
        <f>IF(Picks!C6="","",IF(Picks!U6=Picks!C6,$C6+IF(AND(Picks!V6&lt;&gt;"",Picks!V6=Picks!D6),GAMES_BONUS,0),0))</f>
        <v/>
      </c>
      <c r="N6" s="8">
        <f>IF(Picks!C6="","",IF(Picks!W6=Picks!C6,$C6+IF(AND(Picks!X6&lt;&gt;"",Picks!X6=Picks!D6),GAMES_BONUS,0),0))</f>
        <v/>
      </c>
      <c r="O6" s="8">
        <f>IF(Picks!C6="","",IF(Picks!Y6=Picks!C6,$C6+IF(AND(Picks!Z6&lt;&gt;"",Picks!Z6=Picks!D6),GAMES_BONUS,0),0))</f>
        <v/>
      </c>
      <c r="P6" s="8">
        <f>IF(Picks!C6="","",IF(Picks!AA6=Picks!C6,$C6+IF(AND(Picks!AB6&lt;&gt;"",Picks!AB6=Picks!D6),GAMES_BONUS,0),0))</f>
        <v/>
      </c>
      <c r="Q6" s="8">
        <f>IF(Picks!C6="","",IF(Picks!AC6=Picks!C6,$C6+IF(AND(Picks!AD6&lt;&gt;"",Picks!AD6=Picks!D6),GAMES_BONUS,0),0))</f>
        <v/>
      </c>
      <c r="R6" s="8">
        <f>IF(Picks!C6="","",IF(Picks!AE6=Picks!C6,$C6+IF(AND(Picks!AF6&lt;&gt;"",Picks!AF6=Picks!D6),GAMES_BONUS,0),0))</f>
        <v/>
      </c>
      <c r="S6" s="8">
        <f>IF(Picks!C6="","",IF(Picks!AG6=Picks!C6,$C6+IF(AND(Picks!AH6&lt;&gt;"",Picks!AH6=Picks!D6),GAMES_BONUS,0),0))</f>
        <v/>
      </c>
      <c r="T6" s="8">
        <f>IF(Picks!C6="","",IF(Picks!AI6=Picks!C6,$C6+IF(AND(Picks!AJ6&lt;&gt;"",Picks!AJ6=Picks!D6),GAMES_BONUS,0),0))</f>
        <v/>
      </c>
      <c r="U6" s="8">
        <f>IF(Picks!C6="","",IF(Picks!AK6=Picks!C6,$C6+IF(AND(Picks!AL6&lt;&gt;"",Picks!AL6=Picks!D6),GAMES_BONUS,0),0))</f>
        <v/>
      </c>
      <c r="V6" s="8">
        <f>IF(Picks!C6="","",IF(Picks!AM6=Picks!C6,$C6+IF(AND(Picks!AN6&lt;&gt;"",Picks!AN6=Picks!D6),GAMES_BONUS,0),0))</f>
        <v/>
      </c>
      <c r="W6" s="8">
        <f>IF(Picks!C6="","",IF(Picks!AO6=Picks!C6,$C6+IF(AND(Picks!AP6&lt;&gt;"",Picks!AP6=Picks!D6),GAMES_BONUS,0),0))</f>
        <v/>
      </c>
      <c r="X6" s="8">
        <f>IF(Picks!C6="","",IF(Picks!AQ6=Picks!C6,$C6+IF(AND(Picks!AR6&lt;&gt;"",Picks!AR6=Picks!D6),GAMES_BONUS,0),0))</f>
        <v/>
      </c>
    </row>
    <row r="7">
      <c r="A7" s="5" t="inlineStr">
        <is>
          <t>Round 1</t>
        </is>
      </c>
      <c r="B7" s="5" t="inlineStr">
        <is>
          <t>W1</t>
        </is>
      </c>
      <c r="C7" s="8">
        <f>R1_PTS</f>
        <v/>
      </c>
      <c r="D7" s="8">
        <f>Picks!C7</f>
        <v/>
      </c>
      <c r="E7" s="8">
        <f>IF(Picks!C7="","",IF(Picks!E7=Picks!C7,$C7+IF(AND(Picks!F7&lt;&gt;"",Picks!F7=Picks!D7),GAMES_BONUS,0),0))</f>
        <v/>
      </c>
      <c r="F7" s="8">
        <f>IF(Picks!C7="","",IF(Picks!G7=Picks!C7,$C7+IF(AND(Picks!H7&lt;&gt;"",Picks!H7=Picks!D7),GAMES_BONUS,0),0))</f>
        <v/>
      </c>
      <c r="G7" s="8">
        <f>IF(Picks!C7="","",IF(Picks!I7=Picks!C7,$C7+IF(AND(Picks!J7&lt;&gt;"",Picks!J7=Picks!D7),GAMES_BONUS,0),0))</f>
        <v/>
      </c>
      <c r="H7" s="8">
        <f>IF(Picks!C7="","",IF(Picks!K7=Picks!C7,$C7+IF(AND(Picks!L7&lt;&gt;"",Picks!L7=Picks!D7),GAMES_BONUS,0),0))</f>
        <v/>
      </c>
      <c r="I7" s="8">
        <f>IF(Picks!C7="","",IF(Picks!M7=Picks!C7,$C7+IF(AND(Picks!N7&lt;&gt;"",Picks!N7=Picks!D7),GAMES_BONUS,0),0))</f>
        <v/>
      </c>
      <c r="J7" s="8">
        <f>IF(Picks!C7="","",IF(Picks!O7=Picks!C7,$C7+IF(AND(Picks!P7&lt;&gt;"",Picks!P7=Picks!D7),GAMES_BONUS,0),0))</f>
        <v/>
      </c>
      <c r="K7" s="8">
        <f>IF(Picks!C7="","",IF(Picks!Q7=Picks!C7,$C7+IF(AND(Picks!R7&lt;&gt;"",Picks!R7=Picks!D7),GAMES_BONUS,0),0))</f>
        <v/>
      </c>
      <c r="L7" s="8">
        <f>IF(Picks!C7="","",IF(Picks!S7=Picks!C7,$C7+IF(AND(Picks!T7&lt;&gt;"",Picks!T7=Picks!D7),GAMES_BONUS,0),0))</f>
        <v/>
      </c>
      <c r="M7" s="8">
        <f>IF(Picks!C7="","",IF(Picks!U7=Picks!C7,$C7+IF(AND(Picks!V7&lt;&gt;"",Picks!V7=Picks!D7),GAMES_BONUS,0),0))</f>
        <v/>
      </c>
      <c r="N7" s="8">
        <f>IF(Picks!C7="","",IF(Picks!W7=Picks!C7,$C7+IF(AND(Picks!X7&lt;&gt;"",Picks!X7=Picks!D7),GAMES_BONUS,0),0))</f>
        <v/>
      </c>
      <c r="O7" s="8">
        <f>IF(Picks!C7="","",IF(Picks!Y7=Picks!C7,$C7+IF(AND(Picks!Z7&lt;&gt;"",Picks!Z7=Picks!D7),GAMES_BONUS,0),0))</f>
        <v/>
      </c>
      <c r="P7" s="8">
        <f>IF(Picks!C7="","",IF(Picks!AA7=Picks!C7,$C7+IF(AND(Picks!AB7&lt;&gt;"",Picks!AB7=Picks!D7),GAMES_BONUS,0),0))</f>
        <v/>
      </c>
      <c r="Q7" s="8">
        <f>IF(Picks!C7="","",IF(Picks!AC7=Picks!C7,$C7+IF(AND(Picks!AD7&lt;&gt;"",Picks!AD7=Picks!D7),GAMES_BONUS,0),0))</f>
        <v/>
      </c>
      <c r="R7" s="8">
        <f>IF(Picks!C7="","",IF(Picks!AE7=Picks!C7,$C7+IF(AND(Picks!AF7&lt;&gt;"",Picks!AF7=Picks!D7),GAMES_BONUS,0),0))</f>
        <v/>
      </c>
      <c r="S7" s="8">
        <f>IF(Picks!C7="","",IF(Picks!AG7=Picks!C7,$C7+IF(AND(Picks!AH7&lt;&gt;"",Picks!AH7=Picks!D7),GAMES_BONUS,0),0))</f>
        <v/>
      </c>
      <c r="T7" s="8">
        <f>IF(Picks!C7="","",IF(Picks!AI7=Picks!C7,$C7+IF(AND(Picks!AJ7&lt;&gt;"",Picks!AJ7=Picks!D7),GAMES_BONUS,0),0))</f>
        <v/>
      </c>
      <c r="U7" s="8">
        <f>IF(Picks!C7="","",IF(Picks!AK7=Picks!C7,$C7+IF(AND(Picks!AL7&lt;&gt;"",Picks!AL7=Picks!D7),GAMES_BONUS,0),0))</f>
        <v/>
      </c>
      <c r="V7" s="8">
        <f>IF(Picks!C7="","",IF(Picks!AM7=Picks!C7,$C7+IF(AND(Picks!AN7&lt;&gt;"",Picks!AN7=Picks!D7),GAMES_BONUS,0),0))</f>
        <v/>
      </c>
      <c r="W7" s="8">
        <f>IF(Picks!C7="","",IF(Picks!AO7=Picks!C7,$C7+IF(AND(Picks!AP7&lt;&gt;"",Picks!AP7=Picks!D7),GAMES_BONUS,0),0))</f>
        <v/>
      </c>
      <c r="X7" s="8">
        <f>IF(Picks!C7="","",IF(Picks!AQ7=Picks!C7,$C7+IF(AND(Picks!AR7&lt;&gt;"",Picks!AR7=Picks!D7),GAMES_BONUS,0),0))</f>
        <v/>
      </c>
    </row>
    <row r="8">
      <c r="A8" s="5" t="inlineStr">
        <is>
          <t>Round 1</t>
        </is>
      </c>
      <c r="B8" s="5" t="inlineStr">
        <is>
          <t>W2</t>
        </is>
      </c>
      <c r="C8" s="8">
        <f>R1_PTS</f>
        <v/>
      </c>
      <c r="D8" s="8">
        <f>Picks!C8</f>
        <v/>
      </c>
      <c r="E8" s="8">
        <f>IF(Picks!C8="","",IF(Picks!E8=Picks!C8,$C8+IF(AND(Picks!F8&lt;&gt;"",Picks!F8=Picks!D8),GAMES_BONUS,0),0))</f>
        <v/>
      </c>
      <c r="F8" s="8">
        <f>IF(Picks!C8="","",IF(Picks!G8=Picks!C8,$C8+IF(AND(Picks!H8&lt;&gt;"",Picks!H8=Picks!D8),GAMES_BONUS,0),0))</f>
        <v/>
      </c>
      <c r="G8" s="8">
        <f>IF(Picks!C8="","",IF(Picks!I8=Picks!C8,$C8+IF(AND(Picks!J8&lt;&gt;"",Picks!J8=Picks!D8),GAMES_BONUS,0),0))</f>
        <v/>
      </c>
      <c r="H8" s="8">
        <f>IF(Picks!C8="","",IF(Picks!K8=Picks!C8,$C8+IF(AND(Picks!L8&lt;&gt;"",Picks!L8=Picks!D8),GAMES_BONUS,0),0))</f>
        <v/>
      </c>
      <c r="I8" s="8">
        <f>IF(Picks!C8="","",IF(Picks!M8=Picks!C8,$C8+IF(AND(Picks!N8&lt;&gt;"",Picks!N8=Picks!D8),GAMES_BONUS,0),0))</f>
        <v/>
      </c>
      <c r="J8" s="8">
        <f>IF(Picks!C8="","",IF(Picks!O8=Picks!C8,$C8+IF(AND(Picks!P8&lt;&gt;"",Picks!P8=Picks!D8),GAMES_BONUS,0),0))</f>
        <v/>
      </c>
      <c r="K8" s="8">
        <f>IF(Picks!C8="","",IF(Picks!Q8=Picks!C8,$C8+IF(AND(Picks!R8&lt;&gt;"",Picks!R8=Picks!D8),GAMES_BONUS,0),0))</f>
        <v/>
      </c>
      <c r="L8" s="8">
        <f>IF(Picks!C8="","",IF(Picks!S8=Picks!C8,$C8+IF(AND(Picks!T8&lt;&gt;"",Picks!T8=Picks!D8),GAMES_BONUS,0),0))</f>
        <v/>
      </c>
      <c r="M8" s="8">
        <f>IF(Picks!C8="","",IF(Picks!U8=Picks!C8,$C8+IF(AND(Picks!V8&lt;&gt;"",Picks!V8=Picks!D8),GAMES_BONUS,0),0))</f>
        <v/>
      </c>
      <c r="N8" s="8">
        <f>IF(Picks!C8="","",IF(Picks!W8=Picks!C8,$C8+IF(AND(Picks!X8&lt;&gt;"",Picks!X8=Picks!D8),GAMES_BONUS,0),0))</f>
        <v/>
      </c>
      <c r="O8" s="8">
        <f>IF(Picks!C8="","",IF(Picks!Y8=Picks!C8,$C8+IF(AND(Picks!Z8&lt;&gt;"",Picks!Z8=Picks!D8),GAMES_BONUS,0),0))</f>
        <v/>
      </c>
      <c r="P8" s="8">
        <f>IF(Picks!C8="","",IF(Picks!AA8=Picks!C8,$C8+IF(AND(Picks!AB8&lt;&gt;"",Picks!AB8=Picks!D8),GAMES_BONUS,0),0))</f>
        <v/>
      </c>
      <c r="Q8" s="8">
        <f>IF(Picks!C8="","",IF(Picks!AC8=Picks!C8,$C8+IF(AND(Picks!AD8&lt;&gt;"",Picks!AD8=Picks!D8),GAMES_BONUS,0),0))</f>
        <v/>
      </c>
      <c r="R8" s="8">
        <f>IF(Picks!C8="","",IF(Picks!AE8=Picks!C8,$C8+IF(AND(Picks!AF8&lt;&gt;"",Picks!AF8=Picks!D8),GAMES_BONUS,0),0))</f>
        <v/>
      </c>
      <c r="S8" s="8">
        <f>IF(Picks!C8="","",IF(Picks!AG8=Picks!C8,$C8+IF(AND(Picks!AH8&lt;&gt;"",Picks!AH8=Picks!D8),GAMES_BONUS,0),0))</f>
        <v/>
      </c>
      <c r="T8" s="8">
        <f>IF(Picks!C8="","",IF(Picks!AI8=Picks!C8,$C8+IF(AND(Picks!AJ8&lt;&gt;"",Picks!AJ8=Picks!D8),GAMES_BONUS,0),0))</f>
        <v/>
      </c>
      <c r="U8" s="8">
        <f>IF(Picks!C8="","",IF(Picks!AK8=Picks!C8,$C8+IF(AND(Picks!AL8&lt;&gt;"",Picks!AL8=Picks!D8),GAMES_BONUS,0),0))</f>
        <v/>
      </c>
      <c r="V8" s="8">
        <f>IF(Picks!C8="","",IF(Picks!AM8=Picks!C8,$C8+IF(AND(Picks!AN8&lt;&gt;"",Picks!AN8=Picks!D8),GAMES_BONUS,0),0))</f>
        <v/>
      </c>
      <c r="W8" s="8">
        <f>IF(Picks!C8="","",IF(Picks!AO8=Picks!C8,$C8+IF(AND(Picks!AP8&lt;&gt;"",Picks!AP8=Picks!D8),GAMES_BONUS,0),0))</f>
        <v/>
      </c>
      <c r="X8" s="8">
        <f>IF(Picks!C8="","",IF(Picks!AQ8=Picks!C8,$C8+IF(AND(Picks!AR8&lt;&gt;"",Picks!AR8=Picks!D8),GAMES_BONUS,0),0))</f>
        <v/>
      </c>
    </row>
    <row r="9">
      <c r="A9" s="5" t="inlineStr">
        <is>
          <t>Round 1</t>
        </is>
      </c>
      <c r="B9" s="5" t="inlineStr">
        <is>
          <t>W3</t>
        </is>
      </c>
      <c r="C9" s="8">
        <f>R1_PTS</f>
        <v/>
      </c>
      <c r="D9" s="8">
        <f>Picks!C9</f>
        <v/>
      </c>
      <c r="E9" s="8">
        <f>IF(Picks!C9="","",IF(Picks!E9=Picks!C9,$C9+IF(AND(Picks!F9&lt;&gt;"",Picks!F9=Picks!D9),GAMES_BONUS,0),0))</f>
        <v/>
      </c>
      <c r="F9" s="8">
        <f>IF(Picks!C9="","",IF(Picks!G9=Picks!C9,$C9+IF(AND(Picks!H9&lt;&gt;"",Picks!H9=Picks!D9),GAMES_BONUS,0),0))</f>
        <v/>
      </c>
      <c r="G9" s="8">
        <f>IF(Picks!C9="","",IF(Picks!I9=Picks!C9,$C9+IF(AND(Picks!J9&lt;&gt;"",Picks!J9=Picks!D9),GAMES_BONUS,0),0))</f>
        <v/>
      </c>
      <c r="H9" s="8">
        <f>IF(Picks!C9="","",IF(Picks!K9=Picks!C9,$C9+IF(AND(Picks!L9&lt;&gt;"",Picks!L9=Picks!D9),GAMES_BONUS,0),0))</f>
        <v/>
      </c>
      <c r="I9" s="8">
        <f>IF(Picks!C9="","",IF(Picks!M9=Picks!C9,$C9+IF(AND(Picks!N9&lt;&gt;"",Picks!N9=Picks!D9),GAMES_BONUS,0),0))</f>
        <v/>
      </c>
      <c r="J9" s="8">
        <f>IF(Picks!C9="","",IF(Picks!O9=Picks!C9,$C9+IF(AND(Picks!P9&lt;&gt;"",Picks!P9=Picks!D9),GAMES_BONUS,0),0))</f>
        <v/>
      </c>
      <c r="K9" s="8">
        <f>IF(Picks!C9="","",IF(Picks!Q9=Picks!C9,$C9+IF(AND(Picks!R9&lt;&gt;"",Picks!R9=Picks!D9),GAMES_BONUS,0),0))</f>
        <v/>
      </c>
      <c r="L9" s="8">
        <f>IF(Picks!C9="","",IF(Picks!S9=Picks!C9,$C9+IF(AND(Picks!T9&lt;&gt;"",Picks!T9=Picks!D9),GAMES_BONUS,0),0))</f>
        <v/>
      </c>
      <c r="M9" s="8">
        <f>IF(Picks!C9="","",IF(Picks!U9=Picks!C9,$C9+IF(AND(Picks!V9&lt;&gt;"",Picks!V9=Picks!D9),GAMES_BONUS,0),0))</f>
        <v/>
      </c>
      <c r="N9" s="8">
        <f>IF(Picks!C9="","",IF(Picks!W9=Picks!C9,$C9+IF(AND(Picks!X9&lt;&gt;"",Picks!X9=Picks!D9),GAMES_BONUS,0),0))</f>
        <v/>
      </c>
      <c r="O9" s="8">
        <f>IF(Picks!C9="","",IF(Picks!Y9=Picks!C9,$C9+IF(AND(Picks!Z9&lt;&gt;"",Picks!Z9=Picks!D9),GAMES_BONUS,0),0))</f>
        <v/>
      </c>
      <c r="P9" s="8">
        <f>IF(Picks!C9="","",IF(Picks!AA9=Picks!C9,$C9+IF(AND(Picks!AB9&lt;&gt;"",Picks!AB9=Picks!D9),GAMES_BONUS,0),0))</f>
        <v/>
      </c>
      <c r="Q9" s="8">
        <f>IF(Picks!C9="","",IF(Picks!AC9=Picks!C9,$C9+IF(AND(Picks!AD9&lt;&gt;"",Picks!AD9=Picks!D9),GAMES_BONUS,0),0))</f>
        <v/>
      </c>
      <c r="R9" s="8">
        <f>IF(Picks!C9="","",IF(Picks!AE9=Picks!C9,$C9+IF(AND(Picks!AF9&lt;&gt;"",Picks!AF9=Picks!D9),GAMES_BONUS,0),0))</f>
        <v/>
      </c>
      <c r="S9" s="8">
        <f>IF(Picks!C9="","",IF(Picks!AG9=Picks!C9,$C9+IF(AND(Picks!AH9&lt;&gt;"",Picks!AH9=Picks!D9),GAMES_BONUS,0),0))</f>
        <v/>
      </c>
      <c r="T9" s="8">
        <f>IF(Picks!C9="","",IF(Picks!AI9=Picks!C9,$C9+IF(AND(Picks!AJ9&lt;&gt;"",Picks!AJ9=Picks!D9),GAMES_BONUS,0),0))</f>
        <v/>
      </c>
      <c r="U9" s="8">
        <f>IF(Picks!C9="","",IF(Picks!AK9=Picks!C9,$C9+IF(AND(Picks!AL9&lt;&gt;"",Picks!AL9=Picks!D9),GAMES_BONUS,0),0))</f>
        <v/>
      </c>
      <c r="V9" s="8">
        <f>IF(Picks!C9="","",IF(Picks!AM9=Picks!C9,$C9+IF(AND(Picks!AN9&lt;&gt;"",Picks!AN9=Picks!D9),GAMES_BONUS,0),0))</f>
        <v/>
      </c>
      <c r="W9" s="8">
        <f>IF(Picks!C9="","",IF(Picks!AO9=Picks!C9,$C9+IF(AND(Picks!AP9&lt;&gt;"",Picks!AP9=Picks!D9),GAMES_BONUS,0),0))</f>
        <v/>
      </c>
      <c r="X9" s="8">
        <f>IF(Picks!C9="","",IF(Picks!AQ9=Picks!C9,$C9+IF(AND(Picks!AR9&lt;&gt;"",Picks!AR9=Picks!D9),GAMES_BONUS,0),0))</f>
        <v/>
      </c>
    </row>
    <row r="10">
      <c r="A10" s="5" t="inlineStr">
        <is>
          <t>Round 1</t>
        </is>
      </c>
      <c r="B10" s="5" t="inlineStr">
        <is>
          <t>W4</t>
        </is>
      </c>
      <c r="C10" s="8">
        <f>R1_PTS</f>
        <v/>
      </c>
      <c r="D10" s="8">
        <f>Picks!C10</f>
        <v/>
      </c>
      <c r="E10" s="8">
        <f>IF(Picks!C10="","",IF(Picks!E10=Picks!C10,$C10+IF(AND(Picks!F10&lt;&gt;"",Picks!F10=Picks!D10),GAMES_BONUS,0),0))</f>
        <v/>
      </c>
      <c r="F10" s="8">
        <f>IF(Picks!C10="","",IF(Picks!G10=Picks!C10,$C10+IF(AND(Picks!H10&lt;&gt;"",Picks!H10=Picks!D10),GAMES_BONUS,0),0))</f>
        <v/>
      </c>
      <c r="G10" s="8">
        <f>IF(Picks!C10="","",IF(Picks!I10=Picks!C10,$C10+IF(AND(Picks!J10&lt;&gt;"",Picks!J10=Picks!D10),GAMES_BONUS,0),0))</f>
        <v/>
      </c>
      <c r="H10" s="8">
        <f>IF(Picks!C10="","",IF(Picks!K10=Picks!C10,$C10+IF(AND(Picks!L10&lt;&gt;"",Picks!L10=Picks!D10),GAMES_BONUS,0),0))</f>
        <v/>
      </c>
      <c r="I10" s="8">
        <f>IF(Picks!C10="","",IF(Picks!M10=Picks!C10,$C10+IF(AND(Picks!N10&lt;&gt;"",Picks!N10=Picks!D10),GAMES_BONUS,0),0))</f>
        <v/>
      </c>
      <c r="J10" s="8">
        <f>IF(Picks!C10="","",IF(Picks!O10=Picks!C10,$C10+IF(AND(Picks!P10&lt;&gt;"",Picks!P10=Picks!D10),GAMES_BONUS,0),0))</f>
        <v/>
      </c>
      <c r="K10" s="8">
        <f>IF(Picks!C10="","",IF(Picks!Q10=Picks!C10,$C10+IF(AND(Picks!R10&lt;&gt;"",Picks!R10=Picks!D10),GAMES_BONUS,0),0))</f>
        <v/>
      </c>
      <c r="L10" s="8">
        <f>IF(Picks!C10="","",IF(Picks!S10=Picks!C10,$C10+IF(AND(Picks!T10&lt;&gt;"",Picks!T10=Picks!D10),GAMES_BONUS,0),0))</f>
        <v/>
      </c>
      <c r="M10" s="8">
        <f>IF(Picks!C10="","",IF(Picks!U10=Picks!C10,$C10+IF(AND(Picks!V10&lt;&gt;"",Picks!V10=Picks!D10),GAMES_BONUS,0),0))</f>
        <v/>
      </c>
      <c r="N10" s="8">
        <f>IF(Picks!C10="","",IF(Picks!W10=Picks!C10,$C10+IF(AND(Picks!X10&lt;&gt;"",Picks!X10=Picks!D10),GAMES_BONUS,0),0))</f>
        <v/>
      </c>
      <c r="O10" s="8">
        <f>IF(Picks!C10="","",IF(Picks!Y10=Picks!C10,$C10+IF(AND(Picks!Z10&lt;&gt;"",Picks!Z10=Picks!D10),GAMES_BONUS,0),0))</f>
        <v/>
      </c>
      <c r="P10" s="8">
        <f>IF(Picks!C10="","",IF(Picks!AA10=Picks!C10,$C10+IF(AND(Picks!AB10&lt;&gt;"",Picks!AB10=Picks!D10),GAMES_BONUS,0),0))</f>
        <v/>
      </c>
      <c r="Q10" s="8">
        <f>IF(Picks!C10="","",IF(Picks!AC10=Picks!C10,$C10+IF(AND(Picks!AD10&lt;&gt;"",Picks!AD10=Picks!D10),GAMES_BONUS,0),0))</f>
        <v/>
      </c>
      <c r="R10" s="8">
        <f>IF(Picks!C10="","",IF(Picks!AE10=Picks!C10,$C10+IF(AND(Picks!AF10&lt;&gt;"",Picks!AF10=Picks!D10),GAMES_BONUS,0),0))</f>
        <v/>
      </c>
      <c r="S10" s="8">
        <f>IF(Picks!C10="","",IF(Picks!AG10=Picks!C10,$C10+IF(AND(Picks!AH10&lt;&gt;"",Picks!AH10=Picks!D10),GAMES_BONUS,0),0))</f>
        <v/>
      </c>
      <c r="T10" s="8">
        <f>IF(Picks!C10="","",IF(Picks!AI10=Picks!C10,$C10+IF(AND(Picks!AJ10&lt;&gt;"",Picks!AJ10=Picks!D10),GAMES_BONUS,0),0))</f>
        <v/>
      </c>
      <c r="U10" s="8">
        <f>IF(Picks!C10="","",IF(Picks!AK10=Picks!C10,$C10+IF(AND(Picks!AL10&lt;&gt;"",Picks!AL10=Picks!D10),GAMES_BONUS,0),0))</f>
        <v/>
      </c>
      <c r="V10" s="8">
        <f>IF(Picks!C10="","",IF(Picks!AM10=Picks!C10,$C10+IF(AND(Picks!AN10&lt;&gt;"",Picks!AN10=Picks!D10),GAMES_BONUS,0),0))</f>
        <v/>
      </c>
      <c r="W10" s="8">
        <f>IF(Picks!C10="","",IF(Picks!AO10=Picks!C10,$C10+IF(AND(Picks!AP10&lt;&gt;"",Picks!AP10=Picks!D10),GAMES_BONUS,0),0))</f>
        <v/>
      </c>
      <c r="X10" s="8">
        <f>IF(Picks!C10="","",IF(Picks!AQ10=Picks!C10,$C10+IF(AND(Picks!AR10&lt;&gt;"",Picks!AR10=Picks!D10),GAMES_BONUS,0),0))</f>
        <v/>
      </c>
    </row>
    <row r="11">
      <c r="A11" s="7" t="inlineStr">
        <is>
          <t>Round 2</t>
        </is>
      </c>
      <c r="B11" s="7" t="inlineStr">
        <is>
          <t>E5</t>
        </is>
      </c>
      <c r="C11" s="8">
        <f>R2_PTS</f>
        <v/>
      </c>
      <c r="D11" s="8">
        <f>Picks!C11</f>
        <v/>
      </c>
      <c r="E11" s="8">
        <f>IF(Picks!C11="","",IF(Picks!E11=Picks!C11,$C11+IF(AND(Picks!F11&lt;&gt;"",Picks!F11=Picks!D11),GAMES_BONUS,0),0))</f>
        <v/>
      </c>
      <c r="F11" s="8">
        <f>IF(Picks!C11="","",IF(Picks!G11=Picks!C11,$C11+IF(AND(Picks!H11&lt;&gt;"",Picks!H11=Picks!D11),GAMES_BONUS,0),0))</f>
        <v/>
      </c>
      <c r="G11" s="8">
        <f>IF(Picks!C11="","",IF(Picks!I11=Picks!C11,$C11+IF(AND(Picks!J11&lt;&gt;"",Picks!J11=Picks!D11),GAMES_BONUS,0),0))</f>
        <v/>
      </c>
      <c r="H11" s="8">
        <f>IF(Picks!C11="","",IF(Picks!K11=Picks!C11,$C11+IF(AND(Picks!L11&lt;&gt;"",Picks!L11=Picks!D11),GAMES_BONUS,0),0))</f>
        <v/>
      </c>
      <c r="I11" s="8">
        <f>IF(Picks!C11="","",IF(Picks!M11=Picks!C11,$C11+IF(AND(Picks!N11&lt;&gt;"",Picks!N11=Picks!D11),GAMES_BONUS,0),0))</f>
        <v/>
      </c>
      <c r="J11" s="8">
        <f>IF(Picks!C11="","",IF(Picks!O11=Picks!C11,$C11+IF(AND(Picks!P11&lt;&gt;"",Picks!P11=Picks!D11),GAMES_BONUS,0),0))</f>
        <v/>
      </c>
      <c r="K11" s="8">
        <f>IF(Picks!C11="","",IF(Picks!Q11=Picks!C11,$C11+IF(AND(Picks!R11&lt;&gt;"",Picks!R11=Picks!D11),GAMES_BONUS,0),0))</f>
        <v/>
      </c>
      <c r="L11" s="8">
        <f>IF(Picks!C11="","",IF(Picks!S11=Picks!C11,$C11+IF(AND(Picks!T11&lt;&gt;"",Picks!T11=Picks!D11),GAMES_BONUS,0),0))</f>
        <v/>
      </c>
      <c r="M11" s="8">
        <f>IF(Picks!C11="","",IF(Picks!U11=Picks!C11,$C11+IF(AND(Picks!V11&lt;&gt;"",Picks!V11=Picks!D11),GAMES_BONUS,0),0))</f>
        <v/>
      </c>
      <c r="N11" s="8">
        <f>IF(Picks!C11="","",IF(Picks!W11=Picks!C11,$C11+IF(AND(Picks!X11&lt;&gt;"",Picks!X11=Picks!D11),GAMES_BONUS,0),0))</f>
        <v/>
      </c>
      <c r="O11" s="8">
        <f>IF(Picks!C11="","",IF(Picks!Y11=Picks!C11,$C11+IF(AND(Picks!Z11&lt;&gt;"",Picks!Z11=Picks!D11),GAMES_BONUS,0),0))</f>
        <v/>
      </c>
      <c r="P11" s="8">
        <f>IF(Picks!C11="","",IF(Picks!AA11=Picks!C11,$C11+IF(AND(Picks!AB11&lt;&gt;"",Picks!AB11=Picks!D11),GAMES_BONUS,0),0))</f>
        <v/>
      </c>
      <c r="Q11" s="8">
        <f>IF(Picks!C11="","",IF(Picks!AC11=Picks!C11,$C11+IF(AND(Picks!AD11&lt;&gt;"",Picks!AD11=Picks!D11),GAMES_BONUS,0),0))</f>
        <v/>
      </c>
      <c r="R11" s="8">
        <f>IF(Picks!C11="","",IF(Picks!AE11=Picks!C11,$C11+IF(AND(Picks!AF11&lt;&gt;"",Picks!AF11=Picks!D11),GAMES_BONUS,0),0))</f>
        <v/>
      </c>
      <c r="S11" s="8">
        <f>IF(Picks!C11="","",IF(Picks!AG11=Picks!C11,$C11+IF(AND(Picks!AH11&lt;&gt;"",Picks!AH11=Picks!D11),GAMES_BONUS,0),0))</f>
        <v/>
      </c>
      <c r="T11" s="8">
        <f>IF(Picks!C11="","",IF(Picks!AI11=Picks!C11,$C11+IF(AND(Picks!AJ11&lt;&gt;"",Picks!AJ11=Picks!D11),GAMES_BONUS,0),0))</f>
        <v/>
      </c>
      <c r="U11" s="8">
        <f>IF(Picks!C11="","",IF(Picks!AK11=Picks!C11,$C11+IF(AND(Picks!AL11&lt;&gt;"",Picks!AL11=Picks!D11),GAMES_BONUS,0),0))</f>
        <v/>
      </c>
      <c r="V11" s="8">
        <f>IF(Picks!C11="","",IF(Picks!AM11=Picks!C11,$C11+IF(AND(Picks!AN11&lt;&gt;"",Picks!AN11=Picks!D11),GAMES_BONUS,0),0))</f>
        <v/>
      </c>
      <c r="W11" s="8">
        <f>IF(Picks!C11="","",IF(Picks!AO11=Picks!C11,$C11+IF(AND(Picks!AP11&lt;&gt;"",Picks!AP11=Picks!D11),GAMES_BONUS,0),0))</f>
        <v/>
      </c>
      <c r="X11" s="8">
        <f>IF(Picks!C11="","",IF(Picks!AQ11=Picks!C11,$C11+IF(AND(Picks!AR11&lt;&gt;"",Picks!AR11=Picks!D11),GAMES_BONUS,0),0))</f>
        <v/>
      </c>
    </row>
    <row r="12">
      <c r="A12" s="7" t="inlineStr">
        <is>
          <t>Round 2</t>
        </is>
      </c>
      <c r="B12" s="7" t="inlineStr">
        <is>
          <t>E6</t>
        </is>
      </c>
      <c r="C12" s="8">
        <f>R2_PTS</f>
        <v/>
      </c>
      <c r="D12" s="8">
        <f>Picks!C12</f>
        <v/>
      </c>
      <c r="E12" s="8">
        <f>IF(Picks!C12="","",IF(Picks!E12=Picks!C12,$C12+IF(AND(Picks!F12&lt;&gt;"",Picks!F12=Picks!D12),GAMES_BONUS,0),0))</f>
        <v/>
      </c>
      <c r="F12" s="8">
        <f>IF(Picks!C12="","",IF(Picks!G12=Picks!C12,$C12+IF(AND(Picks!H12&lt;&gt;"",Picks!H12=Picks!D12),GAMES_BONUS,0),0))</f>
        <v/>
      </c>
      <c r="G12" s="8">
        <f>IF(Picks!C12="","",IF(Picks!I12=Picks!C12,$C12+IF(AND(Picks!J12&lt;&gt;"",Picks!J12=Picks!D12),GAMES_BONUS,0),0))</f>
        <v/>
      </c>
      <c r="H12" s="8">
        <f>IF(Picks!C12="","",IF(Picks!K12=Picks!C12,$C12+IF(AND(Picks!L12&lt;&gt;"",Picks!L12=Picks!D12),GAMES_BONUS,0),0))</f>
        <v/>
      </c>
      <c r="I12" s="8">
        <f>IF(Picks!C12="","",IF(Picks!M12=Picks!C12,$C12+IF(AND(Picks!N12&lt;&gt;"",Picks!N12=Picks!D12),GAMES_BONUS,0),0))</f>
        <v/>
      </c>
      <c r="J12" s="8">
        <f>IF(Picks!C12="","",IF(Picks!O12=Picks!C12,$C12+IF(AND(Picks!P12&lt;&gt;"",Picks!P12=Picks!D12),GAMES_BONUS,0),0))</f>
        <v/>
      </c>
      <c r="K12" s="8">
        <f>IF(Picks!C12="","",IF(Picks!Q12=Picks!C12,$C12+IF(AND(Picks!R12&lt;&gt;"",Picks!R12=Picks!D12),GAMES_BONUS,0),0))</f>
        <v/>
      </c>
      <c r="L12" s="8">
        <f>IF(Picks!C12="","",IF(Picks!S12=Picks!C12,$C12+IF(AND(Picks!T12&lt;&gt;"",Picks!T12=Picks!D12),GAMES_BONUS,0),0))</f>
        <v/>
      </c>
      <c r="M12" s="8">
        <f>IF(Picks!C12="","",IF(Picks!U12=Picks!C12,$C12+IF(AND(Picks!V12&lt;&gt;"",Picks!V12=Picks!D12),GAMES_BONUS,0),0))</f>
        <v/>
      </c>
      <c r="N12" s="8">
        <f>IF(Picks!C12="","",IF(Picks!W12=Picks!C12,$C12+IF(AND(Picks!X12&lt;&gt;"",Picks!X12=Picks!D12),GAMES_BONUS,0),0))</f>
        <v/>
      </c>
      <c r="O12" s="8">
        <f>IF(Picks!C12="","",IF(Picks!Y12=Picks!C12,$C12+IF(AND(Picks!Z12&lt;&gt;"",Picks!Z12=Picks!D12),GAMES_BONUS,0),0))</f>
        <v/>
      </c>
      <c r="P12" s="8">
        <f>IF(Picks!C12="","",IF(Picks!AA12=Picks!C12,$C12+IF(AND(Picks!AB12&lt;&gt;"",Picks!AB12=Picks!D12),GAMES_BONUS,0),0))</f>
        <v/>
      </c>
      <c r="Q12" s="8">
        <f>IF(Picks!C12="","",IF(Picks!AC12=Picks!C12,$C12+IF(AND(Picks!AD12&lt;&gt;"",Picks!AD12=Picks!D12),GAMES_BONUS,0),0))</f>
        <v/>
      </c>
      <c r="R12" s="8">
        <f>IF(Picks!C12="","",IF(Picks!AE12=Picks!C12,$C12+IF(AND(Picks!AF12&lt;&gt;"",Picks!AF12=Picks!D12),GAMES_BONUS,0),0))</f>
        <v/>
      </c>
      <c r="S12" s="8">
        <f>IF(Picks!C12="","",IF(Picks!AG12=Picks!C12,$C12+IF(AND(Picks!AH12&lt;&gt;"",Picks!AH12=Picks!D12),GAMES_BONUS,0),0))</f>
        <v/>
      </c>
      <c r="T12" s="8">
        <f>IF(Picks!C12="","",IF(Picks!AI12=Picks!C12,$C12+IF(AND(Picks!AJ12&lt;&gt;"",Picks!AJ12=Picks!D12),GAMES_BONUS,0),0))</f>
        <v/>
      </c>
      <c r="U12" s="8">
        <f>IF(Picks!C12="","",IF(Picks!AK12=Picks!C12,$C12+IF(AND(Picks!AL12&lt;&gt;"",Picks!AL12=Picks!D12),GAMES_BONUS,0),0))</f>
        <v/>
      </c>
      <c r="V12" s="8">
        <f>IF(Picks!C12="","",IF(Picks!AM12=Picks!C12,$C12+IF(AND(Picks!AN12&lt;&gt;"",Picks!AN12=Picks!D12),GAMES_BONUS,0),0))</f>
        <v/>
      </c>
      <c r="W12" s="8">
        <f>IF(Picks!C12="","",IF(Picks!AO12=Picks!C12,$C12+IF(AND(Picks!AP12&lt;&gt;"",Picks!AP12=Picks!D12),GAMES_BONUS,0),0))</f>
        <v/>
      </c>
      <c r="X12" s="8">
        <f>IF(Picks!C12="","",IF(Picks!AQ12=Picks!C12,$C12+IF(AND(Picks!AR12&lt;&gt;"",Picks!AR12=Picks!D12),GAMES_BONUS,0),0))</f>
        <v/>
      </c>
    </row>
    <row r="13">
      <c r="A13" s="7" t="inlineStr">
        <is>
          <t>Round 2</t>
        </is>
      </c>
      <c r="B13" s="7" t="inlineStr">
        <is>
          <t>W5</t>
        </is>
      </c>
      <c r="C13" s="8">
        <f>R2_PTS</f>
        <v/>
      </c>
      <c r="D13" s="8">
        <f>Picks!C13</f>
        <v/>
      </c>
      <c r="E13" s="8">
        <f>IF(Picks!C13="","",IF(Picks!E13=Picks!C13,$C13+IF(AND(Picks!F13&lt;&gt;"",Picks!F13=Picks!D13),GAMES_BONUS,0),0))</f>
        <v/>
      </c>
      <c r="F13" s="8">
        <f>IF(Picks!C13="","",IF(Picks!G13=Picks!C13,$C13+IF(AND(Picks!H13&lt;&gt;"",Picks!H13=Picks!D13),GAMES_BONUS,0),0))</f>
        <v/>
      </c>
      <c r="G13" s="8">
        <f>IF(Picks!C13="","",IF(Picks!I13=Picks!C13,$C13+IF(AND(Picks!J13&lt;&gt;"",Picks!J13=Picks!D13),GAMES_BONUS,0),0))</f>
        <v/>
      </c>
      <c r="H13" s="8">
        <f>IF(Picks!C13="","",IF(Picks!K13=Picks!C13,$C13+IF(AND(Picks!L13&lt;&gt;"",Picks!L13=Picks!D13),GAMES_BONUS,0),0))</f>
        <v/>
      </c>
      <c r="I13" s="8">
        <f>IF(Picks!C13="","",IF(Picks!M13=Picks!C13,$C13+IF(AND(Picks!N13&lt;&gt;"",Picks!N13=Picks!D13),GAMES_BONUS,0),0))</f>
        <v/>
      </c>
      <c r="J13" s="8">
        <f>IF(Picks!C13="","",IF(Picks!O13=Picks!C13,$C13+IF(AND(Picks!P13&lt;&gt;"",Picks!P13=Picks!D13),GAMES_BONUS,0),0))</f>
        <v/>
      </c>
      <c r="K13" s="8">
        <f>IF(Picks!C13="","",IF(Picks!Q13=Picks!C13,$C13+IF(AND(Picks!R13&lt;&gt;"",Picks!R13=Picks!D13),GAMES_BONUS,0),0))</f>
        <v/>
      </c>
      <c r="L13" s="8">
        <f>IF(Picks!C13="","",IF(Picks!S13=Picks!C13,$C13+IF(AND(Picks!T13&lt;&gt;"",Picks!T13=Picks!D13),GAMES_BONUS,0),0))</f>
        <v/>
      </c>
      <c r="M13" s="8">
        <f>IF(Picks!C13="","",IF(Picks!U13=Picks!C13,$C13+IF(AND(Picks!V13&lt;&gt;"",Picks!V13=Picks!D13),GAMES_BONUS,0),0))</f>
        <v/>
      </c>
      <c r="N13" s="8">
        <f>IF(Picks!C13="","",IF(Picks!W13=Picks!C13,$C13+IF(AND(Picks!X13&lt;&gt;"",Picks!X13=Picks!D13),GAMES_BONUS,0),0))</f>
        <v/>
      </c>
      <c r="O13" s="8">
        <f>IF(Picks!C13="","",IF(Picks!Y13=Picks!C13,$C13+IF(AND(Picks!Z13&lt;&gt;"",Picks!Z13=Picks!D13),GAMES_BONUS,0),0))</f>
        <v/>
      </c>
      <c r="P13" s="8">
        <f>IF(Picks!C13="","",IF(Picks!AA13=Picks!C13,$C13+IF(AND(Picks!AB13&lt;&gt;"",Picks!AB13=Picks!D13),GAMES_BONUS,0),0))</f>
        <v/>
      </c>
      <c r="Q13" s="8">
        <f>IF(Picks!C13="","",IF(Picks!AC13=Picks!C13,$C13+IF(AND(Picks!AD13&lt;&gt;"",Picks!AD13=Picks!D13),GAMES_BONUS,0),0))</f>
        <v/>
      </c>
      <c r="R13" s="8">
        <f>IF(Picks!C13="","",IF(Picks!AE13=Picks!C13,$C13+IF(AND(Picks!AF13&lt;&gt;"",Picks!AF13=Picks!D13),GAMES_BONUS,0),0))</f>
        <v/>
      </c>
      <c r="S13" s="8">
        <f>IF(Picks!C13="","",IF(Picks!AG13=Picks!C13,$C13+IF(AND(Picks!AH13&lt;&gt;"",Picks!AH13=Picks!D13),GAMES_BONUS,0),0))</f>
        <v/>
      </c>
      <c r="T13" s="8">
        <f>IF(Picks!C13="","",IF(Picks!AI13=Picks!C13,$C13+IF(AND(Picks!AJ13&lt;&gt;"",Picks!AJ13=Picks!D13),GAMES_BONUS,0),0))</f>
        <v/>
      </c>
      <c r="U13" s="8">
        <f>IF(Picks!C13="","",IF(Picks!AK13=Picks!C13,$C13+IF(AND(Picks!AL13&lt;&gt;"",Picks!AL13=Picks!D13),GAMES_BONUS,0),0))</f>
        <v/>
      </c>
      <c r="V13" s="8">
        <f>IF(Picks!C13="","",IF(Picks!AM13=Picks!C13,$C13+IF(AND(Picks!AN13&lt;&gt;"",Picks!AN13=Picks!D13),GAMES_BONUS,0),0))</f>
        <v/>
      </c>
      <c r="W13" s="8">
        <f>IF(Picks!C13="","",IF(Picks!AO13=Picks!C13,$C13+IF(AND(Picks!AP13&lt;&gt;"",Picks!AP13=Picks!D13),GAMES_BONUS,0),0))</f>
        <v/>
      </c>
      <c r="X13" s="8">
        <f>IF(Picks!C13="","",IF(Picks!AQ13=Picks!C13,$C13+IF(AND(Picks!AR13&lt;&gt;"",Picks!AR13=Picks!D13),GAMES_BONUS,0),0))</f>
        <v/>
      </c>
    </row>
    <row r="14">
      <c r="A14" s="7" t="inlineStr">
        <is>
          <t>Round 2</t>
        </is>
      </c>
      <c r="B14" s="7" t="inlineStr">
        <is>
          <t>W6</t>
        </is>
      </c>
      <c r="C14" s="8">
        <f>R2_PTS</f>
        <v/>
      </c>
      <c r="D14" s="8">
        <f>Picks!C14</f>
        <v/>
      </c>
      <c r="E14" s="8">
        <f>IF(Picks!C14="","",IF(Picks!E14=Picks!C14,$C14+IF(AND(Picks!F14&lt;&gt;"",Picks!F14=Picks!D14),GAMES_BONUS,0),0))</f>
        <v/>
      </c>
      <c r="F14" s="8">
        <f>IF(Picks!C14="","",IF(Picks!G14=Picks!C14,$C14+IF(AND(Picks!H14&lt;&gt;"",Picks!H14=Picks!D14),GAMES_BONUS,0),0))</f>
        <v/>
      </c>
      <c r="G14" s="8">
        <f>IF(Picks!C14="","",IF(Picks!I14=Picks!C14,$C14+IF(AND(Picks!J14&lt;&gt;"",Picks!J14=Picks!D14),GAMES_BONUS,0),0))</f>
        <v/>
      </c>
      <c r="H14" s="8">
        <f>IF(Picks!C14="","",IF(Picks!K14=Picks!C14,$C14+IF(AND(Picks!L14&lt;&gt;"",Picks!L14=Picks!D14),GAMES_BONUS,0),0))</f>
        <v/>
      </c>
      <c r="I14" s="8">
        <f>IF(Picks!C14="","",IF(Picks!M14=Picks!C14,$C14+IF(AND(Picks!N14&lt;&gt;"",Picks!N14=Picks!D14),GAMES_BONUS,0),0))</f>
        <v/>
      </c>
      <c r="J14" s="8">
        <f>IF(Picks!C14="","",IF(Picks!O14=Picks!C14,$C14+IF(AND(Picks!P14&lt;&gt;"",Picks!P14=Picks!D14),GAMES_BONUS,0),0))</f>
        <v/>
      </c>
      <c r="K14" s="8">
        <f>IF(Picks!C14="","",IF(Picks!Q14=Picks!C14,$C14+IF(AND(Picks!R14&lt;&gt;"",Picks!R14=Picks!D14),GAMES_BONUS,0),0))</f>
        <v/>
      </c>
      <c r="L14" s="8">
        <f>IF(Picks!C14="","",IF(Picks!S14=Picks!C14,$C14+IF(AND(Picks!T14&lt;&gt;"",Picks!T14=Picks!D14),GAMES_BONUS,0),0))</f>
        <v/>
      </c>
      <c r="M14" s="8">
        <f>IF(Picks!C14="","",IF(Picks!U14=Picks!C14,$C14+IF(AND(Picks!V14&lt;&gt;"",Picks!V14=Picks!D14),GAMES_BONUS,0),0))</f>
        <v/>
      </c>
      <c r="N14" s="8">
        <f>IF(Picks!C14="","",IF(Picks!W14=Picks!C14,$C14+IF(AND(Picks!X14&lt;&gt;"",Picks!X14=Picks!D14),GAMES_BONUS,0),0))</f>
        <v/>
      </c>
      <c r="O14" s="8">
        <f>IF(Picks!C14="","",IF(Picks!Y14=Picks!C14,$C14+IF(AND(Picks!Z14&lt;&gt;"",Picks!Z14=Picks!D14),GAMES_BONUS,0),0))</f>
        <v/>
      </c>
      <c r="P14" s="8">
        <f>IF(Picks!C14="","",IF(Picks!AA14=Picks!C14,$C14+IF(AND(Picks!AB14&lt;&gt;"",Picks!AB14=Picks!D14),GAMES_BONUS,0),0))</f>
        <v/>
      </c>
      <c r="Q14" s="8">
        <f>IF(Picks!C14="","",IF(Picks!AC14=Picks!C14,$C14+IF(AND(Picks!AD14&lt;&gt;"",Picks!AD14=Picks!D14),GAMES_BONUS,0),0))</f>
        <v/>
      </c>
      <c r="R14" s="8">
        <f>IF(Picks!C14="","",IF(Picks!AE14=Picks!C14,$C14+IF(AND(Picks!AF14&lt;&gt;"",Picks!AF14=Picks!D14),GAMES_BONUS,0),0))</f>
        <v/>
      </c>
      <c r="S14" s="8">
        <f>IF(Picks!C14="","",IF(Picks!AG14=Picks!C14,$C14+IF(AND(Picks!AH14&lt;&gt;"",Picks!AH14=Picks!D14),GAMES_BONUS,0),0))</f>
        <v/>
      </c>
      <c r="T14" s="8">
        <f>IF(Picks!C14="","",IF(Picks!AI14=Picks!C14,$C14+IF(AND(Picks!AJ14&lt;&gt;"",Picks!AJ14=Picks!D14),GAMES_BONUS,0),0))</f>
        <v/>
      </c>
      <c r="U14" s="8">
        <f>IF(Picks!C14="","",IF(Picks!AK14=Picks!C14,$C14+IF(AND(Picks!AL14&lt;&gt;"",Picks!AL14=Picks!D14),GAMES_BONUS,0),0))</f>
        <v/>
      </c>
      <c r="V14" s="8">
        <f>IF(Picks!C14="","",IF(Picks!AM14=Picks!C14,$C14+IF(AND(Picks!AN14&lt;&gt;"",Picks!AN14=Picks!D14),GAMES_BONUS,0),0))</f>
        <v/>
      </c>
      <c r="W14" s="8">
        <f>IF(Picks!C14="","",IF(Picks!AO14=Picks!C14,$C14+IF(AND(Picks!AP14&lt;&gt;"",Picks!AP14=Picks!D14),GAMES_BONUS,0),0))</f>
        <v/>
      </c>
      <c r="X14" s="8">
        <f>IF(Picks!C14="","",IF(Picks!AQ14=Picks!C14,$C14+IF(AND(Picks!AR14&lt;&gt;"",Picks!AR14=Picks!D14),GAMES_BONUS,0),0))</f>
        <v/>
      </c>
    </row>
    <row r="15">
      <c r="A15" s="9" t="inlineStr">
        <is>
          <t>Conference Final</t>
        </is>
      </c>
      <c r="B15" s="9" t="inlineStr">
        <is>
          <t>E7</t>
        </is>
      </c>
      <c r="C15" s="8">
        <f>CF_PTS</f>
        <v/>
      </c>
      <c r="D15" s="8">
        <f>Picks!C15</f>
        <v/>
      </c>
      <c r="E15" s="8">
        <f>IF(Picks!C15="","",IF(Picks!E15=Picks!C15,$C15+IF(AND(Picks!F15&lt;&gt;"",Picks!F15=Picks!D15),GAMES_BONUS,0),0))</f>
        <v/>
      </c>
      <c r="F15" s="8">
        <f>IF(Picks!C15="","",IF(Picks!G15=Picks!C15,$C15+IF(AND(Picks!H15&lt;&gt;"",Picks!H15=Picks!D15),GAMES_BONUS,0),0))</f>
        <v/>
      </c>
      <c r="G15" s="8">
        <f>IF(Picks!C15="","",IF(Picks!I15=Picks!C15,$C15+IF(AND(Picks!J15&lt;&gt;"",Picks!J15=Picks!D15),GAMES_BONUS,0),0))</f>
        <v/>
      </c>
      <c r="H15" s="8">
        <f>IF(Picks!C15="","",IF(Picks!K15=Picks!C15,$C15+IF(AND(Picks!L15&lt;&gt;"",Picks!L15=Picks!D15),GAMES_BONUS,0),0))</f>
        <v/>
      </c>
      <c r="I15" s="8">
        <f>IF(Picks!C15="","",IF(Picks!M15=Picks!C15,$C15+IF(AND(Picks!N15&lt;&gt;"",Picks!N15=Picks!D15),GAMES_BONUS,0),0))</f>
        <v/>
      </c>
      <c r="J15" s="8">
        <f>IF(Picks!C15="","",IF(Picks!O15=Picks!C15,$C15+IF(AND(Picks!P15&lt;&gt;"",Picks!P15=Picks!D15),GAMES_BONUS,0),0))</f>
        <v/>
      </c>
      <c r="K15" s="8">
        <f>IF(Picks!C15="","",IF(Picks!Q15=Picks!C15,$C15+IF(AND(Picks!R15&lt;&gt;"",Picks!R15=Picks!D15),GAMES_BONUS,0),0))</f>
        <v/>
      </c>
      <c r="L15" s="8">
        <f>IF(Picks!C15="","",IF(Picks!S15=Picks!C15,$C15+IF(AND(Picks!T15&lt;&gt;"",Picks!T15=Picks!D15),GAMES_BONUS,0),0))</f>
        <v/>
      </c>
      <c r="M15" s="8">
        <f>IF(Picks!C15="","",IF(Picks!U15=Picks!C15,$C15+IF(AND(Picks!V15&lt;&gt;"",Picks!V15=Picks!D15),GAMES_BONUS,0),0))</f>
        <v/>
      </c>
      <c r="N15" s="8">
        <f>IF(Picks!C15="","",IF(Picks!W15=Picks!C15,$C15+IF(AND(Picks!X15&lt;&gt;"",Picks!X15=Picks!D15),GAMES_BONUS,0),0))</f>
        <v/>
      </c>
      <c r="O15" s="8">
        <f>IF(Picks!C15="","",IF(Picks!Y15=Picks!C15,$C15+IF(AND(Picks!Z15&lt;&gt;"",Picks!Z15=Picks!D15),GAMES_BONUS,0),0))</f>
        <v/>
      </c>
      <c r="P15" s="8">
        <f>IF(Picks!C15="","",IF(Picks!AA15=Picks!C15,$C15+IF(AND(Picks!AB15&lt;&gt;"",Picks!AB15=Picks!D15),GAMES_BONUS,0),0))</f>
        <v/>
      </c>
      <c r="Q15" s="8">
        <f>IF(Picks!C15="","",IF(Picks!AC15=Picks!C15,$C15+IF(AND(Picks!AD15&lt;&gt;"",Picks!AD15=Picks!D15),GAMES_BONUS,0),0))</f>
        <v/>
      </c>
      <c r="R15" s="8">
        <f>IF(Picks!C15="","",IF(Picks!AE15=Picks!C15,$C15+IF(AND(Picks!AF15&lt;&gt;"",Picks!AF15=Picks!D15),GAMES_BONUS,0),0))</f>
        <v/>
      </c>
      <c r="S15" s="8">
        <f>IF(Picks!C15="","",IF(Picks!AG15=Picks!C15,$C15+IF(AND(Picks!AH15&lt;&gt;"",Picks!AH15=Picks!D15),GAMES_BONUS,0),0))</f>
        <v/>
      </c>
      <c r="T15" s="8">
        <f>IF(Picks!C15="","",IF(Picks!AI15=Picks!C15,$C15+IF(AND(Picks!AJ15&lt;&gt;"",Picks!AJ15=Picks!D15),GAMES_BONUS,0),0))</f>
        <v/>
      </c>
      <c r="U15" s="8">
        <f>IF(Picks!C15="","",IF(Picks!AK15=Picks!C15,$C15+IF(AND(Picks!AL15&lt;&gt;"",Picks!AL15=Picks!D15),GAMES_BONUS,0),0))</f>
        <v/>
      </c>
      <c r="V15" s="8">
        <f>IF(Picks!C15="","",IF(Picks!AM15=Picks!C15,$C15+IF(AND(Picks!AN15&lt;&gt;"",Picks!AN15=Picks!D15),GAMES_BONUS,0),0))</f>
        <v/>
      </c>
      <c r="W15" s="8">
        <f>IF(Picks!C15="","",IF(Picks!AO15=Picks!C15,$C15+IF(AND(Picks!AP15&lt;&gt;"",Picks!AP15=Picks!D15),GAMES_BONUS,0),0))</f>
        <v/>
      </c>
      <c r="X15" s="8">
        <f>IF(Picks!C15="","",IF(Picks!AQ15=Picks!C15,$C15+IF(AND(Picks!AR15&lt;&gt;"",Picks!AR15=Picks!D15),GAMES_BONUS,0),0))</f>
        <v/>
      </c>
    </row>
    <row r="16">
      <c r="A16" s="9" t="inlineStr">
        <is>
          <t>Conference Final</t>
        </is>
      </c>
      <c r="B16" s="9" t="inlineStr">
        <is>
          <t>W7</t>
        </is>
      </c>
      <c r="C16" s="8">
        <f>CF_PTS</f>
        <v/>
      </c>
      <c r="D16" s="8">
        <f>Picks!C16</f>
        <v/>
      </c>
      <c r="E16" s="8">
        <f>IF(Picks!C16="","",IF(Picks!E16=Picks!C16,$C16+IF(AND(Picks!F16&lt;&gt;"",Picks!F16=Picks!D16),GAMES_BONUS,0),0))</f>
        <v/>
      </c>
      <c r="F16" s="8">
        <f>IF(Picks!C16="","",IF(Picks!G16=Picks!C16,$C16+IF(AND(Picks!H16&lt;&gt;"",Picks!H16=Picks!D16),GAMES_BONUS,0),0))</f>
        <v/>
      </c>
      <c r="G16" s="8">
        <f>IF(Picks!C16="","",IF(Picks!I16=Picks!C16,$C16+IF(AND(Picks!J16&lt;&gt;"",Picks!J16=Picks!D16),GAMES_BONUS,0),0))</f>
        <v/>
      </c>
      <c r="H16" s="8">
        <f>IF(Picks!C16="","",IF(Picks!K16=Picks!C16,$C16+IF(AND(Picks!L16&lt;&gt;"",Picks!L16=Picks!D16),GAMES_BONUS,0),0))</f>
        <v/>
      </c>
      <c r="I16" s="8">
        <f>IF(Picks!C16="","",IF(Picks!M16=Picks!C16,$C16+IF(AND(Picks!N16&lt;&gt;"",Picks!N16=Picks!D16),GAMES_BONUS,0),0))</f>
        <v/>
      </c>
      <c r="J16" s="8">
        <f>IF(Picks!C16="","",IF(Picks!O16=Picks!C16,$C16+IF(AND(Picks!P16&lt;&gt;"",Picks!P16=Picks!D16),GAMES_BONUS,0),0))</f>
        <v/>
      </c>
      <c r="K16" s="8">
        <f>IF(Picks!C16="","",IF(Picks!Q16=Picks!C16,$C16+IF(AND(Picks!R16&lt;&gt;"",Picks!R16=Picks!D16),GAMES_BONUS,0),0))</f>
        <v/>
      </c>
      <c r="L16" s="8">
        <f>IF(Picks!C16="","",IF(Picks!S16=Picks!C16,$C16+IF(AND(Picks!T16&lt;&gt;"",Picks!T16=Picks!D16),GAMES_BONUS,0),0))</f>
        <v/>
      </c>
      <c r="M16" s="8">
        <f>IF(Picks!C16="","",IF(Picks!U16=Picks!C16,$C16+IF(AND(Picks!V16&lt;&gt;"",Picks!V16=Picks!D16),GAMES_BONUS,0),0))</f>
        <v/>
      </c>
      <c r="N16" s="8">
        <f>IF(Picks!C16="","",IF(Picks!W16=Picks!C16,$C16+IF(AND(Picks!X16&lt;&gt;"",Picks!X16=Picks!D16),GAMES_BONUS,0),0))</f>
        <v/>
      </c>
      <c r="O16" s="8">
        <f>IF(Picks!C16="","",IF(Picks!Y16=Picks!C16,$C16+IF(AND(Picks!Z16&lt;&gt;"",Picks!Z16=Picks!D16),GAMES_BONUS,0),0))</f>
        <v/>
      </c>
      <c r="P16" s="8">
        <f>IF(Picks!C16="","",IF(Picks!AA16=Picks!C16,$C16+IF(AND(Picks!AB16&lt;&gt;"",Picks!AB16=Picks!D16),GAMES_BONUS,0),0))</f>
        <v/>
      </c>
      <c r="Q16" s="8">
        <f>IF(Picks!C16="","",IF(Picks!AC16=Picks!C16,$C16+IF(AND(Picks!AD16&lt;&gt;"",Picks!AD16=Picks!D16),GAMES_BONUS,0),0))</f>
        <v/>
      </c>
      <c r="R16" s="8">
        <f>IF(Picks!C16="","",IF(Picks!AE16=Picks!C16,$C16+IF(AND(Picks!AF16&lt;&gt;"",Picks!AF16=Picks!D16),GAMES_BONUS,0),0))</f>
        <v/>
      </c>
      <c r="S16" s="8">
        <f>IF(Picks!C16="","",IF(Picks!AG16=Picks!C16,$C16+IF(AND(Picks!AH16&lt;&gt;"",Picks!AH16=Picks!D16),GAMES_BONUS,0),0))</f>
        <v/>
      </c>
      <c r="T16" s="8">
        <f>IF(Picks!C16="","",IF(Picks!AI16=Picks!C16,$C16+IF(AND(Picks!AJ16&lt;&gt;"",Picks!AJ16=Picks!D16),GAMES_BONUS,0),0))</f>
        <v/>
      </c>
      <c r="U16" s="8">
        <f>IF(Picks!C16="","",IF(Picks!AK16=Picks!C16,$C16+IF(AND(Picks!AL16&lt;&gt;"",Picks!AL16=Picks!D16),GAMES_BONUS,0),0))</f>
        <v/>
      </c>
      <c r="V16" s="8">
        <f>IF(Picks!C16="","",IF(Picks!AM16=Picks!C16,$C16+IF(AND(Picks!AN16&lt;&gt;"",Picks!AN16=Picks!D16),GAMES_BONUS,0),0))</f>
        <v/>
      </c>
      <c r="W16" s="8">
        <f>IF(Picks!C16="","",IF(Picks!AO16=Picks!C16,$C16+IF(AND(Picks!AP16&lt;&gt;"",Picks!AP16=Picks!D16),GAMES_BONUS,0),0))</f>
        <v/>
      </c>
      <c r="X16" s="8">
        <f>IF(Picks!C16="","",IF(Picks!AQ16=Picks!C16,$C16+IF(AND(Picks!AR16&lt;&gt;"",Picks!AR16=Picks!D16),GAMES_BONUS,0),0))</f>
        <v/>
      </c>
    </row>
    <row r="17">
      <c r="A17" s="10" t="inlineStr">
        <is>
          <t>Stanley Cup Final</t>
        </is>
      </c>
      <c r="B17" s="10" t="inlineStr">
        <is>
          <t>SCF</t>
        </is>
      </c>
      <c r="C17" s="8">
        <f>SCF_PTS</f>
        <v/>
      </c>
      <c r="D17" s="8">
        <f>Picks!C17</f>
        <v/>
      </c>
      <c r="E17" s="8">
        <f>IF(Picks!C17="","",IF(Picks!E17=Picks!C17,$C17+IF(AND(Picks!F17&lt;&gt;"",Picks!F17=Picks!D17),GAMES_BONUS,0),0))</f>
        <v/>
      </c>
      <c r="F17" s="8">
        <f>IF(Picks!C17="","",IF(Picks!G17=Picks!C17,$C17+IF(AND(Picks!H17&lt;&gt;"",Picks!H17=Picks!D17),GAMES_BONUS,0),0))</f>
        <v/>
      </c>
      <c r="G17" s="8">
        <f>IF(Picks!C17="","",IF(Picks!I17=Picks!C17,$C17+IF(AND(Picks!J17&lt;&gt;"",Picks!J17=Picks!D17),GAMES_BONUS,0),0))</f>
        <v/>
      </c>
      <c r="H17" s="8">
        <f>IF(Picks!C17="","",IF(Picks!K17=Picks!C17,$C17+IF(AND(Picks!L17&lt;&gt;"",Picks!L17=Picks!D17),GAMES_BONUS,0),0))</f>
        <v/>
      </c>
      <c r="I17" s="8">
        <f>IF(Picks!C17="","",IF(Picks!M17=Picks!C17,$C17+IF(AND(Picks!N17&lt;&gt;"",Picks!N17=Picks!D17),GAMES_BONUS,0),0))</f>
        <v/>
      </c>
      <c r="J17" s="8">
        <f>IF(Picks!C17="","",IF(Picks!O17=Picks!C17,$C17+IF(AND(Picks!P17&lt;&gt;"",Picks!P17=Picks!D17),GAMES_BONUS,0),0))</f>
        <v/>
      </c>
      <c r="K17" s="8">
        <f>IF(Picks!C17="","",IF(Picks!Q17=Picks!C17,$C17+IF(AND(Picks!R17&lt;&gt;"",Picks!R17=Picks!D17),GAMES_BONUS,0),0))</f>
        <v/>
      </c>
      <c r="L17" s="8">
        <f>IF(Picks!C17="","",IF(Picks!S17=Picks!C17,$C17+IF(AND(Picks!T17&lt;&gt;"",Picks!T17=Picks!D17),GAMES_BONUS,0),0))</f>
        <v/>
      </c>
      <c r="M17" s="8">
        <f>IF(Picks!C17="","",IF(Picks!U17=Picks!C17,$C17+IF(AND(Picks!V17&lt;&gt;"",Picks!V17=Picks!D17),GAMES_BONUS,0),0))</f>
        <v/>
      </c>
      <c r="N17" s="8">
        <f>IF(Picks!C17="","",IF(Picks!W17=Picks!C17,$C17+IF(AND(Picks!X17&lt;&gt;"",Picks!X17=Picks!D17),GAMES_BONUS,0),0))</f>
        <v/>
      </c>
      <c r="O17" s="8">
        <f>IF(Picks!C17="","",IF(Picks!Y17=Picks!C17,$C17+IF(AND(Picks!Z17&lt;&gt;"",Picks!Z17=Picks!D17),GAMES_BONUS,0),0))</f>
        <v/>
      </c>
      <c r="P17" s="8">
        <f>IF(Picks!C17="","",IF(Picks!AA17=Picks!C17,$C17+IF(AND(Picks!AB17&lt;&gt;"",Picks!AB17=Picks!D17),GAMES_BONUS,0),0))</f>
        <v/>
      </c>
      <c r="Q17" s="8">
        <f>IF(Picks!C17="","",IF(Picks!AC17=Picks!C17,$C17+IF(AND(Picks!AD17&lt;&gt;"",Picks!AD17=Picks!D17),GAMES_BONUS,0),0))</f>
        <v/>
      </c>
      <c r="R17" s="8">
        <f>IF(Picks!C17="","",IF(Picks!AE17=Picks!C17,$C17+IF(AND(Picks!AF17&lt;&gt;"",Picks!AF17=Picks!D17),GAMES_BONUS,0),0))</f>
        <v/>
      </c>
      <c r="S17" s="8">
        <f>IF(Picks!C17="","",IF(Picks!AG17=Picks!C17,$C17+IF(AND(Picks!AH17&lt;&gt;"",Picks!AH17=Picks!D17),GAMES_BONUS,0),0))</f>
        <v/>
      </c>
      <c r="T17" s="8">
        <f>IF(Picks!C17="","",IF(Picks!AI17=Picks!C17,$C17+IF(AND(Picks!AJ17&lt;&gt;"",Picks!AJ17=Picks!D17),GAMES_BONUS,0),0))</f>
        <v/>
      </c>
      <c r="U17" s="8">
        <f>IF(Picks!C17="","",IF(Picks!AK17=Picks!C17,$C17+IF(AND(Picks!AL17&lt;&gt;"",Picks!AL17=Picks!D17),GAMES_BONUS,0),0))</f>
        <v/>
      </c>
      <c r="V17" s="8">
        <f>IF(Picks!C17="","",IF(Picks!AM17=Picks!C17,$C17+IF(AND(Picks!AN17&lt;&gt;"",Picks!AN17=Picks!D17),GAMES_BONUS,0),0))</f>
        <v/>
      </c>
      <c r="W17" s="8">
        <f>IF(Picks!C17="","",IF(Picks!AO17=Picks!C17,$C17+IF(AND(Picks!AP17&lt;&gt;"",Picks!AP17=Picks!D17),GAMES_BONUS,0),0))</f>
        <v/>
      </c>
      <c r="X17" s="8">
        <f>IF(Picks!C17="","",IF(Picks!AQ17=Picks!C17,$C17+IF(AND(Picks!AR17&lt;&gt;"",Picks!AR17=Picks!D17),GAMES_BONUS,0),0))</f>
        <v/>
      </c>
    </row>
    <row r="18">
      <c r="A18" s="13" t="inlineStr">
        <is>
          <t>TOTAL</t>
        </is>
      </c>
      <c r="E18" s="14">
        <f>SUM(E3:E17)</f>
        <v/>
      </c>
      <c r="F18" s="14">
        <f>SUM(F3:F17)</f>
        <v/>
      </c>
      <c r="G18" s="14">
        <f>SUM(G3:G17)</f>
        <v/>
      </c>
      <c r="H18" s="14">
        <f>SUM(H3:H17)</f>
        <v/>
      </c>
      <c r="I18" s="14">
        <f>SUM(I3:I17)</f>
        <v/>
      </c>
      <c r="J18" s="14">
        <f>SUM(J3:J17)</f>
        <v/>
      </c>
      <c r="K18" s="14">
        <f>SUM(K3:K17)</f>
        <v/>
      </c>
      <c r="L18" s="14">
        <f>SUM(L3:L17)</f>
        <v/>
      </c>
      <c r="M18" s="14">
        <f>SUM(M3:M17)</f>
        <v/>
      </c>
      <c r="N18" s="14">
        <f>SUM(N3:N17)</f>
        <v/>
      </c>
      <c r="O18" s="14">
        <f>SUM(O3:O17)</f>
        <v/>
      </c>
      <c r="P18" s="14">
        <f>SUM(P3:P17)</f>
        <v/>
      </c>
      <c r="Q18" s="14">
        <f>SUM(Q3:Q17)</f>
        <v/>
      </c>
      <c r="R18" s="14">
        <f>SUM(R3:R17)</f>
        <v/>
      </c>
      <c r="S18" s="14">
        <f>SUM(S3:S17)</f>
        <v/>
      </c>
      <c r="T18" s="14">
        <f>SUM(T3:T17)</f>
        <v/>
      </c>
      <c r="U18" s="14">
        <f>SUM(U3:U17)</f>
        <v/>
      </c>
      <c r="V18" s="14">
        <f>SUM(V3:V17)</f>
        <v/>
      </c>
      <c r="W18" s="14">
        <f>SUM(W3:W17)</f>
        <v/>
      </c>
      <c r="X18" s="14">
        <f>SUM(X3:X17)</f>
        <v/>
      </c>
    </row>
    <row r="19" hidden="1">
      <c r="A19" s="15" t="inlineStr">
        <is>
          <t>Tiebreak key (auto)</t>
        </is>
      </c>
      <c r="E19" s="16">
        <f>E18+COLUMN()/1000000</f>
        <v/>
      </c>
      <c r="F19" s="16">
        <f>F18+COLUMN()/1000000</f>
        <v/>
      </c>
      <c r="G19" s="16">
        <f>G18+COLUMN()/1000000</f>
        <v/>
      </c>
      <c r="H19" s="16">
        <f>H18+COLUMN()/1000000</f>
        <v/>
      </c>
      <c r="I19" s="16">
        <f>I18+COLUMN()/1000000</f>
        <v/>
      </c>
      <c r="J19" s="16">
        <f>J18+COLUMN()/1000000</f>
        <v/>
      </c>
      <c r="K19" s="16">
        <f>K18+COLUMN()/1000000</f>
        <v/>
      </c>
      <c r="L19" s="16">
        <f>L18+COLUMN()/1000000</f>
        <v/>
      </c>
      <c r="M19" s="16">
        <f>M18+COLUMN()/1000000</f>
        <v/>
      </c>
      <c r="N19" s="16">
        <f>N18+COLUMN()/1000000</f>
        <v/>
      </c>
      <c r="O19" s="16">
        <f>O18+COLUMN()/1000000</f>
        <v/>
      </c>
      <c r="P19" s="16">
        <f>P18+COLUMN()/1000000</f>
        <v/>
      </c>
      <c r="Q19" s="16">
        <f>Q18+COLUMN()/1000000</f>
        <v/>
      </c>
      <c r="R19" s="16">
        <f>R18+COLUMN()/1000000</f>
        <v/>
      </c>
      <c r="S19" s="16">
        <f>S18+COLUMN()/1000000</f>
        <v/>
      </c>
      <c r="T19" s="16">
        <f>T18+COLUMN()/1000000</f>
        <v/>
      </c>
      <c r="U19" s="16">
        <f>U18+COLUMN()/1000000</f>
        <v/>
      </c>
      <c r="V19" s="16">
        <f>V18+COLUMN()/1000000</f>
        <v/>
      </c>
      <c r="W19" s="16">
        <f>W18+COLUMN()/1000000</f>
        <v/>
      </c>
      <c r="X19" s="16">
        <f>X18+COLUMN()/1000000</f>
        <v/>
      </c>
    </row>
  </sheetData>
  <mergeCells count="3">
    <mergeCell ref="A1:D1"/>
    <mergeCell ref="A18:D18"/>
    <mergeCell ref="A19:D19"/>
  </mergeCells>
  <conditionalFormatting sqref="E3:X17">
    <cfRule type="colorScale" priority="1">
      <colorScale>
        <cfvo type="num" val="0"/>
        <cfvo type="num" val="5"/>
        <cfvo type="num" val="11"/>
        <color rgb="00FFFFFF"/>
        <color rgb="00FFF2CC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</cols>
  <sheetData>
    <row r="1">
      <c r="A1" s="4" t="inlineStr">
        <is>
          <t>Rank</t>
        </is>
      </c>
      <c r="B1" s="4" t="inlineStr">
        <is>
          <t>Player</t>
        </is>
      </c>
      <c r="C1" s="4" t="inlineStr">
        <is>
          <t>Total Points</t>
        </is>
      </c>
    </row>
    <row r="2">
      <c r="A2" s="17">
        <f>IF(C2="","",ROW()-1)</f>
        <v/>
      </c>
      <c r="B2" s="17">
        <f>IFERROR(INDEX(Scores!$E$1:$X$1,1,MATCH(LARGE(Scores!$E$19:$X$19,ROW()-1),Scores!$E$19:$X$19,0)),"")</f>
        <v/>
      </c>
      <c r="C2" s="17">
        <f>IFERROR(INDEX(Scores!$E$18:$X$18,1,MATCH(LARGE(Scores!$E$19:$X$19,ROW()-1),Scores!$E$19:$X$19,0)),"")</f>
        <v/>
      </c>
    </row>
    <row r="3">
      <c r="A3" s="18">
        <f>IF(C3="","",ROW()-1)</f>
        <v/>
      </c>
      <c r="B3" s="18">
        <f>IFERROR(INDEX(Scores!$E$1:$X$1,1,MATCH(LARGE(Scores!$E$19:$X$19,ROW()-1),Scores!$E$19:$X$19,0)),"")</f>
        <v/>
      </c>
      <c r="C3" s="18">
        <f>IFERROR(INDEX(Scores!$E$18:$X$18,1,MATCH(LARGE(Scores!$E$19:$X$19,ROW()-1),Scores!$E$19:$X$19,0)),"")</f>
        <v/>
      </c>
    </row>
    <row r="4">
      <c r="A4" s="18">
        <f>IF(C4="","",ROW()-1)</f>
        <v/>
      </c>
      <c r="B4" s="18">
        <f>IFERROR(INDEX(Scores!$E$1:$X$1,1,MATCH(LARGE(Scores!$E$19:$X$19,ROW()-1),Scores!$E$19:$X$19,0)),"")</f>
        <v/>
      </c>
      <c r="C4" s="18">
        <f>IFERROR(INDEX(Scores!$E$18:$X$18,1,MATCH(LARGE(Scores!$E$19:$X$19,ROW()-1),Scores!$E$19:$X$19,0)),"")</f>
        <v/>
      </c>
    </row>
    <row r="5">
      <c r="A5" s="18">
        <f>IF(C5="","",ROW()-1)</f>
        <v/>
      </c>
      <c r="B5" s="18">
        <f>IFERROR(INDEX(Scores!$E$1:$X$1,1,MATCH(LARGE(Scores!$E$19:$X$19,ROW()-1),Scores!$E$19:$X$19,0)),"")</f>
        <v/>
      </c>
      <c r="C5" s="18">
        <f>IFERROR(INDEX(Scores!$E$18:$X$18,1,MATCH(LARGE(Scores!$E$19:$X$19,ROW()-1),Scores!$E$19:$X$19,0)),"")</f>
        <v/>
      </c>
    </row>
    <row r="6">
      <c r="A6" s="18">
        <f>IF(C6="","",ROW()-1)</f>
        <v/>
      </c>
      <c r="B6" s="18">
        <f>IFERROR(INDEX(Scores!$E$1:$X$1,1,MATCH(LARGE(Scores!$E$19:$X$19,ROW()-1),Scores!$E$19:$X$19,0)),"")</f>
        <v/>
      </c>
      <c r="C6" s="18">
        <f>IFERROR(INDEX(Scores!$E$18:$X$18,1,MATCH(LARGE(Scores!$E$19:$X$19,ROW()-1),Scores!$E$19:$X$19,0)),"")</f>
        <v/>
      </c>
    </row>
    <row r="7">
      <c r="A7" s="18">
        <f>IF(C7="","",ROW()-1)</f>
        <v/>
      </c>
      <c r="B7" s="18">
        <f>IFERROR(INDEX(Scores!$E$1:$X$1,1,MATCH(LARGE(Scores!$E$19:$X$19,ROW()-1),Scores!$E$19:$X$19,0)),"")</f>
        <v/>
      </c>
      <c r="C7" s="18">
        <f>IFERROR(INDEX(Scores!$E$18:$X$18,1,MATCH(LARGE(Scores!$E$19:$X$19,ROW()-1),Scores!$E$19:$X$19,0)),"")</f>
        <v/>
      </c>
    </row>
    <row r="8">
      <c r="A8" s="18">
        <f>IF(C8="","",ROW()-1)</f>
        <v/>
      </c>
      <c r="B8" s="18">
        <f>IFERROR(INDEX(Scores!$E$1:$X$1,1,MATCH(LARGE(Scores!$E$19:$X$19,ROW()-1),Scores!$E$19:$X$19,0)),"")</f>
        <v/>
      </c>
      <c r="C8" s="18">
        <f>IFERROR(INDEX(Scores!$E$18:$X$18,1,MATCH(LARGE(Scores!$E$19:$X$19,ROW()-1),Scores!$E$19:$X$19,0)),"")</f>
        <v/>
      </c>
    </row>
    <row r="9">
      <c r="A9" s="18">
        <f>IF(C9="","",ROW()-1)</f>
        <v/>
      </c>
      <c r="B9" s="18">
        <f>IFERROR(INDEX(Scores!$E$1:$X$1,1,MATCH(LARGE(Scores!$E$19:$X$19,ROW()-1),Scores!$E$19:$X$19,0)),"")</f>
        <v/>
      </c>
      <c r="C9" s="18">
        <f>IFERROR(INDEX(Scores!$E$18:$X$18,1,MATCH(LARGE(Scores!$E$19:$X$19,ROW()-1),Scores!$E$19:$X$19,0)),"")</f>
        <v/>
      </c>
    </row>
    <row r="10">
      <c r="A10" s="18">
        <f>IF(C10="","",ROW()-1)</f>
        <v/>
      </c>
      <c r="B10" s="18">
        <f>IFERROR(INDEX(Scores!$E$1:$X$1,1,MATCH(LARGE(Scores!$E$19:$X$19,ROW()-1),Scores!$E$19:$X$19,0)),"")</f>
        <v/>
      </c>
      <c r="C10" s="18">
        <f>IFERROR(INDEX(Scores!$E$18:$X$18,1,MATCH(LARGE(Scores!$E$19:$X$19,ROW()-1),Scores!$E$19:$X$19,0)),"")</f>
        <v/>
      </c>
    </row>
    <row r="11">
      <c r="A11" s="18">
        <f>IF(C11="","",ROW()-1)</f>
        <v/>
      </c>
      <c r="B11" s="18">
        <f>IFERROR(INDEX(Scores!$E$1:$X$1,1,MATCH(LARGE(Scores!$E$19:$X$19,ROW()-1),Scores!$E$19:$X$19,0)),"")</f>
        <v/>
      </c>
      <c r="C11" s="18">
        <f>IFERROR(INDEX(Scores!$E$18:$X$18,1,MATCH(LARGE(Scores!$E$19:$X$19,ROW()-1),Scores!$E$19:$X$19,0)),"")</f>
        <v/>
      </c>
    </row>
    <row r="12">
      <c r="A12" s="18">
        <f>IF(C12="","",ROW()-1)</f>
        <v/>
      </c>
      <c r="B12" s="18">
        <f>IFERROR(INDEX(Scores!$E$1:$X$1,1,MATCH(LARGE(Scores!$E$19:$X$19,ROW()-1),Scores!$E$19:$X$19,0)),"")</f>
        <v/>
      </c>
      <c r="C12" s="18">
        <f>IFERROR(INDEX(Scores!$E$18:$X$18,1,MATCH(LARGE(Scores!$E$19:$X$19,ROW()-1),Scores!$E$19:$X$19,0)),"")</f>
        <v/>
      </c>
    </row>
    <row r="13">
      <c r="A13" s="18">
        <f>IF(C13="","",ROW()-1)</f>
        <v/>
      </c>
      <c r="B13" s="18">
        <f>IFERROR(INDEX(Scores!$E$1:$X$1,1,MATCH(LARGE(Scores!$E$19:$X$19,ROW()-1),Scores!$E$19:$X$19,0)),"")</f>
        <v/>
      </c>
      <c r="C13" s="18">
        <f>IFERROR(INDEX(Scores!$E$18:$X$18,1,MATCH(LARGE(Scores!$E$19:$X$19,ROW()-1),Scores!$E$19:$X$19,0)),"")</f>
        <v/>
      </c>
    </row>
    <row r="14">
      <c r="A14" s="18">
        <f>IF(C14="","",ROW()-1)</f>
        <v/>
      </c>
      <c r="B14" s="18">
        <f>IFERROR(INDEX(Scores!$E$1:$X$1,1,MATCH(LARGE(Scores!$E$19:$X$19,ROW()-1),Scores!$E$19:$X$19,0)),"")</f>
        <v/>
      </c>
      <c r="C14" s="18">
        <f>IFERROR(INDEX(Scores!$E$18:$X$18,1,MATCH(LARGE(Scores!$E$19:$X$19,ROW()-1),Scores!$E$19:$X$19,0)),"")</f>
        <v/>
      </c>
    </row>
    <row r="15">
      <c r="A15" s="18">
        <f>IF(C15="","",ROW()-1)</f>
        <v/>
      </c>
      <c r="B15" s="18">
        <f>IFERROR(INDEX(Scores!$E$1:$X$1,1,MATCH(LARGE(Scores!$E$19:$X$19,ROW()-1),Scores!$E$19:$X$19,0)),"")</f>
        <v/>
      </c>
      <c r="C15" s="18">
        <f>IFERROR(INDEX(Scores!$E$18:$X$18,1,MATCH(LARGE(Scores!$E$19:$X$19,ROW()-1),Scores!$E$19:$X$19,0)),"")</f>
        <v/>
      </c>
    </row>
    <row r="16">
      <c r="A16" s="18">
        <f>IF(C16="","",ROW()-1)</f>
        <v/>
      </c>
      <c r="B16" s="18">
        <f>IFERROR(INDEX(Scores!$E$1:$X$1,1,MATCH(LARGE(Scores!$E$19:$X$19,ROW()-1),Scores!$E$19:$X$19,0)),"")</f>
        <v/>
      </c>
      <c r="C16" s="18">
        <f>IFERROR(INDEX(Scores!$E$18:$X$18,1,MATCH(LARGE(Scores!$E$19:$X$19,ROW()-1),Scores!$E$19:$X$19,0)),"")</f>
        <v/>
      </c>
    </row>
    <row r="17">
      <c r="A17" s="18">
        <f>IF(C17="","",ROW()-1)</f>
        <v/>
      </c>
      <c r="B17" s="18">
        <f>IFERROR(INDEX(Scores!$E$1:$X$1,1,MATCH(LARGE(Scores!$E$19:$X$19,ROW()-1),Scores!$E$19:$X$19,0)),"")</f>
        <v/>
      </c>
      <c r="C17" s="18">
        <f>IFERROR(INDEX(Scores!$E$18:$X$18,1,MATCH(LARGE(Scores!$E$19:$X$19,ROW()-1),Scores!$E$19:$X$19,0)),"")</f>
        <v/>
      </c>
    </row>
    <row r="18">
      <c r="A18" s="18">
        <f>IF(C18="","",ROW()-1)</f>
        <v/>
      </c>
      <c r="B18" s="18">
        <f>IFERROR(INDEX(Scores!$E$1:$X$1,1,MATCH(LARGE(Scores!$E$19:$X$19,ROW()-1),Scores!$E$19:$X$19,0)),"")</f>
        <v/>
      </c>
      <c r="C18" s="18">
        <f>IFERROR(INDEX(Scores!$E$18:$X$18,1,MATCH(LARGE(Scores!$E$19:$X$19,ROW()-1),Scores!$E$19:$X$19,0)),"")</f>
        <v/>
      </c>
    </row>
    <row r="19">
      <c r="A19" s="18">
        <f>IF(C19="","",ROW()-1)</f>
        <v/>
      </c>
      <c r="B19" s="18">
        <f>IFERROR(INDEX(Scores!$E$1:$X$1,1,MATCH(LARGE(Scores!$E$19:$X$19,ROW()-1),Scores!$E$19:$X$19,0)),"")</f>
        <v/>
      </c>
      <c r="C19" s="18">
        <f>IFERROR(INDEX(Scores!$E$18:$X$18,1,MATCH(LARGE(Scores!$E$19:$X$19,ROW()-1),Scores!$E$19:$X$19,0)),"")</f>
        <v/>
      </c>
    </row>
    <row r="20">
      <c r="A20" s="18">
        <f>IF(C20="","",ROW()-1)</f>
        <v/>
      </c>
      <c r="B20" s="18">
        <f>IFERROR(INDEX(Scores!$E$1:$X$1,1,MATCH(LARGE(Scores!$E$19:$X$19,ROW()-1),Scores!$E$19:$X$19,0)),"")</f>
        <v/>
      </c>
      <c r="C20" s="18">
        <f>IFERROR(INDEX(Scores!$E$18:$X$18,1,MATCH(LARGE(Scores!$E$19:$X$19,ROW()-1),Scores!$E$19:$X$19,0)),"")</f>
        <v/>
      </c>
    </row>
    <row r="21">
      <c r="A21" s="18">
        <f>IF(C21="","",ROW()-1)</f>
        <v/>
      </c>
      <c r="B21" s="18">
        <f>IFERROR(INDEX(Scores!$E$1:$X$1,1,MATCH(LARGE(Scores!$E$19:$X$19,ROW()-1),Scores!$E$19:$X$19,0)),"")</f>
        <v/>
      </c>
      <c r="C21" s="18">
        <f>IFERROR(INDEX(Scores!$E$18:$X$18,1,MATCH(LARGE(Scores!$E$19:$X$19,ROW()-1),Scores!$E$19:$X$19,0)),"")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Setting</t>
        </is>
      </c>
      <c r="B1" s="4" t="inlineStr">
        <is>
          <t>Value</t>
        </is>
      </c>
    </row>
    <row r="2">
      <c r="A2" s="19" t="inlineStr">
        <is>
          <t>R1_PTS</t>
        </is>
      </c>
      <c r="B2" s="6" t="n">
        <v>2</v>
      </c>
    </row>
    <row r="3">
      <c r="A3" s="19" t="inlineStr">
        <is>
          <t>R2_PTS</t>
        </is>
      </c>
      <c r="B3" s="6" t="n">
        <v>4</v>
      </c>
    </row>
    <row r="4">
      <c r="A4" s="19" t="inlineStr">
        <is>
          <t>CF_PTS</t>
        </is>
      </c>
      <c r="B4" s="6" t="n">
        <v>6</v>
      </c>
    </row>
    <row r="5">
      <c r="A5" s="19" t="inlineStr">
        <is>
          <t>SCF_PTS</t>
        </is>
      </c>
      <c r="B5" s="6" t="n">
        <v>10</v>
      </c>
    </row>
    <row r="6">
      <c r="A6" s="19" t="inlineStr">
        <is>
          <t>GAMES_BONUS</t>
        </is>
      </c>
      <c r="B6" s="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2026-04-18T22:02:55Z</dcterms:created>
  <dcterms:modified xsi:type="dcterms:W3CDTF">2026-04-18T22:02:55Z</dcterms:modified>
</cp:coreProperties>
</file>