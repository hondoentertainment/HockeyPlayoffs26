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Bracket" sheetId="2" state="visible" r:id="rId2"/>
    <sheet name="Picks" sheetId="3" state="visible" r:id="rId3"/>
    <sheet name="Scores" sheetId="4" state="visible" r:id="rId4"/>
    <sheet name="Leaderboard" sheetId="5" state="visible" r:id="rId5"/>
    <sheet name="Config" sheetId="6" state="visible" r:id="rId6"/>
  </sheets>
  <definedNames>
    <definedName name="R1_PTS">Config!$B$2</definedName>
    <definedName name="R2_PTS">Config!$B$3</definedName>
    <definedName name="CF_PTS">Config!$B$4</definedName>
    <definedName name="SCF_PTS">Config!$B$5</definedName>
    <definedName name="GAMES_BONUS">Config!$B$6</definedName>
    <definedName name="PICKS_LOCKED">Config!$B$7</definedName>
    <definedName name="ACTUAL_TOTAL_GOALS">Bracket!$F$17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</font>
    <font>
      <color rgb="00595959"/>
      <sz val="9"/>
    </font>
    <font>
      <color rgb="00BFBFBF"/>
      <sz val="9"/>
    </font>
    <font>
      <i val="1"/>
      <color rgb="007F7F7F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FFE699"/>
      </patternFill>
    </fill>
    <fill>
      <patternFill patternType="solid">
        <fgColor rgb="00FFD96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5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 ht="24" customHeight="1">
      <c r="A1" s="1" t="inlineStr">
        <is>
          <t>NHL Playoffs 2026 — Bracket Scorer</t>
        </is>
      </c>
    </row>
    <row r="2" ht="8" customHeight="1">
      <c r="A2" s="2" t="inlineStr"/>
    </row>
    <row r="3" ht="24" customHeight="1">
      <c r="A3" s="3" t="inlineStr">
        <is>
          <t>How to use this workbook</t>
        </is>
      </c>
    </row>
    <row r="4" ht="8" customHeight="1">
      <c r="A4" s="2" t="inlineStr"/>
    </row>
    <row r="5" ht="24" customHeight="1">
      <c r="A5" s="2" t="inlineStr">
        <is>
          <t>1. Bracket sheet — YELLOW cells are for input. GREEN cells auto-fill. Round 1 matchups are pre-populated; edit if the set differs.</t>
        </is>
      </c>
    </row>
    <row r="6" ht="24" customHeight="1">
      <c r="A6" s="2" t="inlineStr">
        <is>
          <t xml:space="preserve">   • Enter the Winner and # of Games (4–7) for each series as it ends. The Status column shows Not Set / In Progress / Final.</t>
        </is>
      </c>
    </row>
    <row r="7" ht="24" customHeight="1">
      <c r="A7" s="2" t="inlineStr">
        <is>
          <t xml:space="preserve">   • Scroll to the last row to enter the ACTUAL Cup-Final total goals (tiebreaker) once the Final is over.</t>
        </is>
      </c>
    </row>
    <row r="8" ht="8" customHeight="1">
      <c r="A8" s="2" t="inlineStr"/>
    </row>
    <row r="9" ht="24" customHeight="1">
      <c r="A9" s="2" t="inlineStr">
        <is>
          <t>2. Picks sheet — Type each player's name in row 1, then their Winner pick (dropdown) and Games pick (4–7) per series.</t>
        </is>
      </c>
    </row>
    <row r="10" ht="24" customHeight="1">
      <c r="A10" s="2" t="inlineStr">
        <is>
          <t xml:space="preserve">   • Last row: each player enters a Cup-Final total-goals GUESS — used to break ties.</t>
        </is>
      </c>
    </row>
    <row r="11" ht="24" customHeight="1">
      <c r="A11" s="2" t="inlineStr">
        <is>
          <t xml:space="preserve">   • When Config!PICKS_LOCKED = TRUE, all pick cells turn peach as a visual lock indicator. For hard enforcement, right-click the Picks sheet tab → Protect Sheet after picks are in.</t>
        </is>
      </c>
    </row>
    <row r="12" ht="8" customHeight="1">
      <c r="A12" s="2" t="inlineStr"/>
    </row>
    <row r="13" ht="24" customHeight="1">
      <c r="A13" s="2" t="inlineStr">
        <is>
          <t>3. Scores sheet — Fully automatic. Per-series points, per-round subtotals at the bottom, TOTAL row, and a heatmap.</t>
        </is>
      </c>
    </row>
    <row r="14" ht="24" customHeight="1">
      <c r="A14" s="2" t="inlineStr">
        <is>
          <t xml:space="preserve">   • Correct winner = round points. Correct # of games = +1 bonus (only if winner pick was also correct).</t>
        </is>
      </c>
    </row>
    <row r="15" ht="8" customHeight="1">
      <c r="A15" s="2" t="inlineStr"/>
    </row>
    <row r="16" ht="24" customHeight="1">
      <c r="A16" s="2" t="inlineStr">
        <is>
          <t>4. Leaderboard sheet — Live ranking. Ties broken by |guess − actual| on the Cup-Final total-goals question.</t>
        </is>
      </c>
    </row>
    <row r="17" ht="8" customHeight="1">
      <c r="A17" s="2" t="inlineStr"/>
    </row>
    <row r="18" ht="24" customHeight="1">
      <c r="A18" s="2" t="inlineStr">
        <is>
          <t>5. Config sheet — Change point values, the games bonus, and the PICKS_LOCKED toggle.</t>
        </is>
      </c>
    </row>
    <row r="19" ht="8" customHeight="1">
      <c r="A19" s="2" t="inlineStr"/>
    </row>
    <row r="20" ht="24" customHeight="1">
      <c r="A20" s="3" t="inlineStr">
        <is>
          <t>Color key</t>
        </is>
      </c>
    </row>
    <row r="21" ht="24" customHeight="1">
      <c r="A21" s="2" t="inlineStr">
        <is>
          <t xml:space="preserve">   YELLOW = user input   GREEN = auto-filled from formulas   PEACH = picks locked</t>
        </is>
      </c>
    </row>
    <row r="22" ht="8" customHeight="1">
      <c r="A22" s="2" t="inlineStr"/>
    </row>
    <row r="23" ht="24" customHeight="1">
      <c r="A23" s="3" t="inlineStr">
        <is>
          <t>Default scoring</t>
        </is>
      </c>
    </row>
    <row r="24" ht="24" customHeight="1">
      <c r="A24" s="2" t="inlineStr">
        <is>
          <t xml:space="preserve">   Round 1: 2 pts   Round 2: 4 pts   Conference Final: 6 pts   Stanley Cup Final: 10 pts   Correct games bonus: +1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10" customWidth="1" min="6" max="6"/>
    <col width="14" customWidth="1" min="7" max="7"/>
  </cols>
  <sheetData>
    <row r="1">
      <c r="A1" s="4" t="inlineStr">
        <is>
          <t>Round</t>
        </is>
      </c>
      <c r="B1" s="4" t="inlineStr">
        <is>
          <t>Series</t>
        </is>
      </c>
      <c r="C1" s="4" t="inlineStr">
        <is>
          <t>Team 1</t>
        </is>
      </c>
      <c r="D1" s="4" t="inlineStr">
        <is>
          <t>Team 2</t>
        </is>
      </c>
      <c r="E1" s="4" t="inlineStr">
        <is>
          <t>Winner</t>
        </is>
      </c>
      <c r="F1" s="4" t="inlineStr">
        <is>
          <t>Games</t>
        </is>
      </c>
      <c r="G1" s="4" t="inlineStr">
        <is>
          <t>Status</t>
        </is>
      </c>
    </row>
    <row r="2">
      <c r="A2" s="5" t="inlineStr">
        <is>
          <t>Round 1</t>
        </is>
      </c>
      <c r="B2" s="5" t="inlineStr">
        <is>
          <t>E1</t>
        </is>
      </c>
      <c r="C2" s="6" t="inlineStr">
        <is>
          <t>Carolina Hurricanes</t>
        </is>
      </c>
      <c r="D2" s="6" t="inlineStr">
        <is>
          <t>Ottawa Senators</t>
        </is>
      </c>
      <c r="E2" s="6" t="inlineStr">
        <is>
          <t>Carolina Hurricanes</t>
        </is>
      </c>
      <c r="F2" s="6" t="n">
        <v>4</v>
      </c>
      <c r="G2" s="7">
        <f>IF(E2&lt;&gt;"","Final",IF(AND(C2&lt;&gt;"",D2&lt;&gt;""),"In Progress","Not Set"))</f>
        <v/>
      </c>
    </row>
    <row r="3">
      <c r="A3" s="5" t="inlineStr">
        <is>
          <t>Round 1</t>
        </is>
      </c>
      <c r="B3" s="5" t="inlineStr">
        <is>
          <t>E2</t>
        </is>
      </c>
      <c r="C3" s="6" t="inlineStr">
        <is>
          <t>Pittsburgh Penguins</t>
        </is>
      </c>
      <c r="D3" s="6" t="inlineStr">
        <is>
          <t>Philadelphia Flyers</t>
        </is>
      </c>
      <c r="E3" s="6" t="inlineStr">
        <is>
          <t>Philadelphia Flyers</t>
        </is>
      </c>
      <c r="F3" s="6" t="n">
        <v>6</v>
      </c>
      <c r="G3" s="7">
        <f>IF(E3&lt;&gt;"","Final",IF(AND(C3&lt;&gt;"",D3&lt;&gt;""),"In Progress","Not Set"))</f>
        <v/>
      </c>
    </row>
    <row r="4">
      <c r="A4" s="5" t="inlineStr">
        <is>
          <t>Round 1</t>
        </is>
      </c>
      <c r="B4" s="5" t="inlineStr">
        <is>
          <t>E3</t>
        </is>
      </c>
      <c r="C4" s="6" t="inlineStr">
        <is>
          <t>Buffalo Sabres</t>
        </is>
      </c>
      <c r="D4" s="6" t="inlineStr">
        <is>
          <t>Boston Bruins</t>
        </is>
      </c>
      <c r="E4" s="6" t="inlineStr">
        <is>
          <t>Buffalo Sabres</t>
        </is>
      </c>
      <c r="F4" s="6" t="n">
        <v>6</v>
      </c>
      <c r="G4" s="7">
        <f>IF(E4&lt;&gt;"","Final",IF(AND(C4&lt;&gt;"",D4&lt;&gt;""),"In Progress","Not Set"))</f>
        <v/>
      </c>
    </row>
    <row r="5">
      <c r="A5" s="5" t="inlineStr">
        <is>
          <t>Round 1</t>
        </is>
      </c>
      <c r="B5" s="5" t="inlineStr">
        <is>
          <t>E4</t>
        </is>
      </c>
      <c r="C5" s="6" t="inlineStr">
        <is>
          <t>Tampa Bay Lightning</t>
        </is>
      </c>
      <c r="D5" s="6" t="inlineStr">
        <is>
          <t>Montreal Canadiens</t>
        </is>
      </c>
      <c r="E5" s="6" t="inlineStr">
        <is>
          <t>Montreal Canadiens</t>
        </is>
      </c>
      <c r="F5" s="6" t="n">
        <v>7</v>
      </c>
      <c r="G5" s="7">
        <f>IF(E5&lt;&gt;"","Final",IF(AND(C5&lt;&gt;"",D5&lt;&gt;""),"In Progress","Not Set"))</f>
        <v/>
      </c>
    </row>
    <row r="6">
      <c r="A6" s="5" t="inlineStr">
        <is>
          <t>Round 1</t>
        </is>
      </c>
      <c r="B6" s="5" t="inlineStr">
        <is>
          <t>W1</t>
        </is>
      </c>
      <c r="C6" s="6" t="inlineStr">
        <is>
          <t>Colorado Avalanche</t>
        </is>
      </c>
      <c r="D6" s="6" t="inlineStr">
        <is>
          <t>Los Angeles Kings</t>
        </is>
      </c>
      <c r="E6" s="6" t="inlineStr">
        <is>
          <t>Colorado Avalanche</t>
        </is>
      </c>
      <c r="F6" s="6" t="n">
        <v>4</v>
      </c>
      <c r="G6" s="7">
        <f>IF(E6&lt;&gt;"","Final",IF(AND(C6&lt;&gt;"",D6&lt;&gt;""),"In Progress","Not Set"))</f>
        <v/>
      </c>
    </row>
    <row r="7">
      <c r="A7" s="5" t="inlineStr">
        <is>
          <t>Round 1</t>
        </is>
      </c>
      <c r="B7" s="5" t="inlineStr">
        <is>
          <t>W2</t>
        </is>
      </c>
      <c r="C7" s="6" t="inlineStr">
        <is>
          <t>Dallas Stars</t>
        </is>
      </c>
      <c r="D7" s="6" t="inlineStr">
        <is>
          <t>Minnesota Wild</t>
        </is>
      </c>
      <c r="E7" s="6" t="inlineStr">
        <is>
          <t>Minnesota Wild</t>
        </is>
      </c>
      <c r="F7" s="6" t="n">
        <v>6</v>
      </c>
      <c r="G7" s="7">
        <f>IF(E7&lt;&gt;"","Final",IF(AND(C7&lt;&gt;"",D7&lt;&gt;""),"In Progress","Not Set"))</f>
        <v/>
      </c>
    </row>
    <row r="8">
      <c r="A8" s="5" t="inlineStr">
        <is>
          <t>Round 1</t>
        </is>
      </c>
      <c r="B8" s="5" t="inlineStr">
        <is>
          <t>W3</t>
        </is>
      </c>
      <c r="C8" s="6" t="inlineStr">
        <is>
          <t>Vegas Golden Knights</t>
        </is>
      </c>
      <c r="D8" s="6" t="inlineStr">
        <is>
          <t>Utah Mammoth</t>
        </is>
      </c>
      <c r="E8" s="6" t="inlineStr">
        <is>
          <t>Vegas Golden Knights</t>
        </is>
      </c>
      <c r="F8" s="6" t="n">
        <v>6</v>
      </c>
      <c r="G8" s="7">
        <f>IF(E8&lt;&gt;"","Final",IF(AND(C8&lt;&gt;"",D8&lt;&gt;""),"In Progress","Not Set"))</f>
        <v/>
      </c>
    </row>
    <row r="9">
      <c r="A9" s="5" t="inlineStr">
        <is>
          <t>Round 1</t>
        </is>
      </c>
      <c r="B9" s="5" t="inlineStr">
        <is>
          <t>W4</t>
        </is>
      </c>
      <c r="C9" s="6" t="inlineStr">
        <is>
          <t>Edmonton Oilers</t>
        </is>
      </c>
      <c r="D9" s="6" t="inlineStr">
        <is>
          <t>Anaheim Ducks</t>
        </is>
      </c>
      <c r="E9" s="6" t="inlineStr">
        <is>
          <t>Anaheim Ducks</t>
        </is>
      </c>
      <c r="F9" s="6" t="n">
        <v>6</v>
      </c>
      <c r="G9" s="7">
        <f>IF(E9&lt;&gt;"","Final",IF(AND(C9&lt;&gt;"",D9&lt;&gt;""),"In Progress","Not Set"))</f>
        <v/>
      </c>
    </row>
    <row r="10">
      <c r="A10" s="8" t="inlineStr">
        <is>
          <t>Round 2</t>
        </is>
      </c>
      <c r="B10" s="8" t="inlineStr">
        <is>
          <t>E5</t>
        </is>
      </c>
      <c r="C10" s="7">
        <f>IF(E2="","",E2)</f>
        <v/>
      </c>
      <c r="D10" s="7">
        <f>IF(E3="","",E3)</f>
        <v/>
      </c>
      <c r="E10" s="6" t="inlineStr">
        <is>
          <t>Carolina Hurricanes</t>
        </is>
      </c>
      <c r="F10" s="6" t="n">
        <v>4</v>
      </c>
      <c r="G10" s="7">
        <f>IF(E10&lt;&gt;"","Final",IF(AND(C10&lt;&gt;"",D10&lt;&gt;""),"In Progress","Not Set"))</f>
        <v/>
      </c>
    </row>
    <row r="11">
      <c r="A11" s="8" t="inlineStr">
        <is>
          <t>Round 2</t>
        </is>
      </c>
      <c r="B11" s="8" t="inlineStr">
        <is>
          <t>E6</t>
        </is>
      </c>
      <c r="C11" s="7">
        <f>IF(E4="","",E4)</f>
        <v/>
      </c>
      <c r="D11" s="7">
        <f>IF(E5="","",E5)</f>
        <v/>
      </c>
      <c r="E11" s="6" t="inlineStr">
        <is>
          <t>Montreal Canadiens</t>
        </is>
      </c>
      <c r="F11" s="6" t="n">
        <v>7</v>
      </c>
      <c r="G11" s="7">
        <f>IF(E11&lt;&gt;"","Final",IF(AND(C11&lt;&gt;"",D11&lt;&gt;""),"In Progress","Not Set"))</f>
        <v/>
      </c>
    </row>
    <row r="12">
      <c r="A12" s="8" t="inlineStr">
        <is>
          <t>Round 2</t>
        </is>
      </c>
      <c r="B12" s="8" t="inlineStr">
        <is>
          <t>W5</t>
        </is>
      </c>
      <c r="C12" s="7">
        <f>IF(E6="","",E6)</f>
        <v/>
      </c>
      <c r="D12" s="7">
        <f>IF(E7="","",E7)</f>
        <v/>
      </c>
      <c r="E12" s="6" t="inlineStr">
        <is>
          <t>Colorado Avalanche</t>
        </is>
      </c>
      <c r="F12" s="6" t="n">
        <v>5</v>
      </c>
      <c r="G12" s="7">
        <f>IF(E12&lt;&gt;"","Final",IF(AND(C12&lt;&gt;"",D12&lt;&gt;""),"In Progress","Not Set"))</f>
        <v/>
      </c>
    </row>
    <row r="13">
      <c r="A13" s="8" t="inlineStr">
        <is>
          <t>Round 2</t>
        </is>
      </c>
      <c r="B13" s="8" t="inlineStr">
        <is>
          <t>W6</t>
        </is>
      </c>
      <c r="C13" s="7">
        <f>IF(E8="","",E8)</f>
        <v/>
      </c>
      <c r="D13" s="7">
        <f>IF(E9="","",E9)</f>
        <v/>
      </c>
      <c r="E13" s="6" t="inlineStr">
        <is>
          <t>Vegas Golden Knights</t>
        </is>
      </c>
      <c r="F13" s="6" t="n">
        <v>6</v>
      </c>
      <c r="G13" s="7">
        <f>IF(E13&lt;&gt;"","Final",IF(AND(C13&lt;&gt;"",D13&lt;&gt;""),"In Progress","Not Set"))</f>
        <v/>
      </c>
    </row>
    <row r="14">
      <c r="A14" s="9" t="inlineStr">
        <is>
          <t>Conference Final</t>
        </is>
      </c>
      <c r="B14" s="9" t="inlineStr">
        <is>
          <t>E7</t>
        </is>
      </c>
      <c r="C14" s="7">
        <f>IF(E10="","",E10)</f>
        <v/>
      </c>
      <c r="D14" s="7">
        <f>IF(E11="","",E11)</f>
        <v/>
      </c>
      <c r="E14" s="6" t="inlineStr">
        <is>
          <t>Carolina Hurricanes</t>
        </is>
      </c>
      <c r="F14" s="6" t="n">
        <v>5</v>
      </c>
      <c r="G14" s="7">
        <f>IF(E14&lt;&gt;"","Final",IF(AND(C14&lt;&gt;"",D14&lt;&gt;""),"In Progress","Not Set"))</f>
        <v/>
      </c>
    </row>
    <row r="15">
      <c r="A15" s="9" t="inlineStr">
        <is>
          <t>Conference Final</t>
        </is>
      </c>
      <c r="B15" s="9" t="inlineStr">
        <is>
          <t>W7</t>
        </is>
      </c>
      <c r="C15" s="7">
        <f>IF(E12="","",E12)</f>
        <v/>
      </c>
      <c r="D15" s="7">
        <f>IF(E13="","",E13)</f>
        <v/>
      </c>
      <c r="E15" s="6" t="inlineStr">
        <is>
          <t>Vegas Golden Knights</t>
        </is>
      </c>
      <c r="F15" s="6" t="n">
        <v>4</v>
      </c>
      <c r="G15" s="7">
        <f>IF(E15&lt;&gt;"","Final",IF(AND(C15&lt;&gt;"",D15&lt;&gt;""),"In Progress","Not Set"))</f>
        <v/>
      </c>
    </row>
    <row r="16">
      <c r="A16" s="10" t="inlineStr">
        <is>
          <t>Stanley Cup Final</t>
        </is>
      </c>
      <c r="B16" s="10" t="inlineStr">
        <is>
          <t>SCF</t>
        </is>
      </c>
      <c r="C16" s="7">
        <f>IF(E14="","",E14)</f>
        <v/>
      </c>
      <c r="D16" s="7">
        <f>IF(E15="","",E15)</f>
        <v/>
      </c>
      <c r="E16" s="6" t="n"/>
      <c r="F16" s="6" t="n"/>
      <c r="G16" s="7">
        <f>IF(E16&lt;&gt;"","Final",IF(AND(C16&lt;&gt;"",D16&lt;&gt;""),"In Progress","Not Set"))</f>
        <v/>
      </c>
    </row>
    <row r="17">
      <c r="A17" s="11" t="inlineStr">
        <is>
          <t>Cup Final — Total Goals (actual, tiebreaker)</t>
        </is>
      </c>
      <c r="F17" s="6" t="n"/>
    </row>
  </sheetData>
  <mergeCells count="1">
    <mergeCell ref="A17:E17"/>
  </mergeCells>
  <dataValidations count="31">
    <dataValidation sqref="E2" showDropDown="0" showInputMessage="0" showErrorMessage="0" allowBlank="1" errorTitle="Invalid winner" error="Winner must match Team 1 or Team 2." type="list">
      <formula1>=INDIRECT("C2:D2")</formula1>
    </dataValidation>
    <dataValidation sqref="F2" showDropDown="0" showInputMessage="0" showErrorMessage="0" allowBlank="1" errorTitle="Invalid games" error="Series length must be 4, 5, 6, or 7." type="whole" operator="between">
      <formula1>4</formula1>
      <formula2>7</formula2>
    </dataValidation>
    <dataValidation sqref="E3" showDropDown="0" showInputMessage="0" showErrorMessage="0" allowBlank="1" errorTitle="Invalid winner" error="Winner must match Team 1 or Team 2." type="list">
      <formula1>=INDIRECT("C3:D3")</formula1>
    </dataValidation>
    <dataValidation sqref="F3" showDropDown="0" showInputMessage="0" showErrorMessage="0" allowBlank="1" errorTitle="Invalid games" error="Series length must be 4, 5, 6, or 7." type="whole" operator="between">
      <formula1>4</formula1>
      <formula2>7</formula2>
    </dataValidation>
    <dataValidation sqref="E4" showDropDown="0" showInputMessage="0" showErrorMessage="0" allowBlank="1" errorTitle="Invalid winner" error="Winner must match Team 1 or Team 2." type="list">
      <formula1>=INDIRECT("C4:D4")</formula1>
    </dataValidation>
    <dataValidation sqref="F4" showDropDown="0" showInputMessage="0" showErrorMessage="0" allowBlank="1" errorTitle="Invalid games" error="Series length must be 4, 5, 6, or 7." type="whole" operator="between">
      <formula1>4</formula1>
      <formula2>7</formula2>
    </dataValidation>
    <dataValidation sqref="E5" showDropDown="0" showInputMessage="0" showErrorMessage="0" allowBlank="1" errorTitle="Invalid winner" error="Winner must match Team 1 or Team 2." type="list">
      <formula1>=INDIRECT("C5:D5")</formula1>
    </dataValidation>
    <dataValidation sqref="F5" showDropDown="0" showInputMessage="0" showErrorMessage="0" allowBlank="1" errorTitle="Invalid games" error="Series length must be 4, 5, 6, or 7." type="whole" operator="between">
      <formula1>4</formula1>
      <formula2>7</formula2>
    </dataValidation>
    <dataValidation sqref="E6" showDropDown="0" showInputMessage="0" showErrorMessage="0" allowBlank="1" errorTitle="Invalid winner" error="Winner must match Team 1 or Team 2." type="list">
      <formula1>=INDIRECT("C6:D6")</formula1>
    </dataValidation>
    <dataValidation sqref="F6" showDropDown="0" showInputMessage="0" showErrorMessage="0" allowBlank="1" errorTitle="Invalid games" error="Series length must be 4, 5, 6, or 7." type="whole" operator="between">
      <formula1>4</formula1>
      <formula2>7</formula2>
    </dataValidation>
    <dataValidation sqref="E7" showDropDown="0" showInputMessage="0" showErrorMessage="0" allowBlank="1" errorTitle="Invalid winner" error="Winner must match Team 1 or Team 2." type="list">
      <formula1>=INDIRECT("C7:D7")</formula1>
    </dataValidation>
    <dataValidation sqref="F7" showDropDown="0" showInputMessage="0" showErrorMessage="0" allowBlank="1" errorTitle="Invalid games" error="Series length must be 4, 5, 6, or 7." type="whole" operator="between">
      <formula1>4</formula1>
      <formula2>7</formula2>
    </dataValidation>
    <dataValidation sqref="E8" showDropDown="0" showInputMessage="0" showErrorMessage="0" allowBlank="1" errorTitle="Invalid winner" error="Winner must match Team 1 or Team 2." type="list">
      <formula1>=INDIRECT("C8:D8")</formula1>
    </dataValidation>
    <dataValidation sqref="F8" showDropDown="0" showInputMessage="0" showErrorMessage="0" allowBlank="1" errorTitle="Invalid games" error="Series length must be 4, 5, 6, or 7." type="whole" operator="between">
      <formula1>4</formula1>
      <formula2>7</formula2>
    </dataValidation>
    <dataValidation sqref="E9" showDropDown="0" showInputMessage="0" showErrorMessage="0" allowBlank="1" errorTitle="Invalid winner" error="Winner must match Team 1 or Team 2." type="list">
      <formula1>=INDIRECT("C9:D9")</formula1>
    </dataValidation>
    <dataValidation sqref="F9" showDropDown="0" showInputMessage="0" showErrorMessage="0" allowBlank="1" errorTitle="Invalid games" error="Series length must be 4, 5, 6, or 7." type="whole" operator="between">
      <formula1>4</formula1>
      <formula2>7</formula2>
    </dataValidation>
    <dataValidation sqref="E10" showDropDown="0" showInputMessage="0" showErrorMessage="0" allowBlank="1" errorTitle="Invalid winner" error="Winner must match Team 1 or Team 2." type="list">
      <formula1>=INDIRECT("C10:D10")</formula1>
    </dataValidation>
    <dataValidation sqref="F10" showDropDown="0" showInputMessage="0" showErrorMessage="0" allowBlank="1" errorTitle="Invalid games" error="Series length must be 4, 5, 6, or 7." type="whole" operator="between">
      <formula1>4</formula1>
      <formula2>7</formula2>
    </dataValidation>
    <dataValidation sqref="E11" showDropDown="0" showInputMessage="0" showErrorMessage="0" allowBlank="1" errorTitle="Invalid winner" error="Winner must match Team 1 or Team 2." type="list">
      <formula1>=INDIRECT("C11:D11")</formula1>
    </dataValidation>
    <dataValidation sqref="F11" showDropDown="0" showInputMessage="0" showErrorMessage="0" allowBlank="1" errorTitle="Invalid games" error="Series length must be 4, 5, 6, or 7." type="whole" operator="between">
      <formula1>4</formula1>
      <formula2>7</formula2>
    </dataValidation>
    <dataValidation sqref="E12" showDropDown="0" showInputMessage="0" showErrorMessage="0" allowBlank="1" errorTitle="Invalid winner" error="Winner must match Team 1 or Team 2." type="list">
      <formula1>=INDIRECT("C12:D12")</formula1>
    </dataValidation>
    <dataValidation sqref="F12" showDropDown="0" showInputMessage="0" showErrorMessage="0" allowBlank="1" errorTitle="Invalid games" error="Series length must be 4, 5, 6, or 7." type="whole" operator="between">
      <formula1>4</formula1>
      <formula2>7</formula2>
    </dataValidation>
    <dataValidation sqref="E13" showDropDown="0" showInputMessage="0" showErrorMessage="0" allowBlank="1" errorTitle="Invalid winner" error="Winner must match Team 1 or Team 2." type="list">
      <formula1>=INDIRECT("C13:D13")</formula1>
    </dataValidation>
    <dataValidation sqref="F13" showDropDown="0" showInputMessage="0" showErrorMessage="0" allowBlank="1" errorTitle="Invalid games" error="Series length must be 4, 5, 6, or 7." type="whole" operator="between">
      <formula1>4</formula1>
      <formula2>7</formula2>
    </dataValidation>
    <dataValidation sqref="E14" showDropDown="0" showInputMessage="0" showErrorMessage="0" allowBlank="1" errorTitle="Invalid winner" error="Winner must match Team 1 or Team 2." type="list">
      <formula1>=INDIRECT("C14:D14")</formula1>
    </dataValidation>
    <dataValidation sqref="F14" showDropDown="0" showInputMessage="0" showErrorMessage="0" allowBlank="1" errorTitle="Invalid games" error="Series length must be 4, 5, 6, or 7." type="whole" operator="between">
      <formula1>4</formula1>
      <formula2>7</formula2>
    </dataValidation>
    <dataValidation sqref="E15" showDropDown="0" showInputMessage="0" showErrorMessage="0" allowBlank="1" errorTitle="Invalid winner" error="Winner must match Team 1 or Team 2." type="list">
      <formula1>=INDIRECT("C15:D15")</formula1>
    </dataValidation>
    <dataValidation sqref="F15" showDropDown="0" showInputMessage="0" showErrorMessage="0" allowBlank="1" errorTitle="Invalid games" error="Series length must be 4, 5, 6, or 7." type="whole" operator="between">
      <formula1>4</formula1>
      <formula2>7</formula2>
    </dataValidation>
    <dataValidation sqref="E16" showDropDown="0" showInputMessage="0" showErrorMessage="0" allowBlank="1" errorTitle="Invalid winner" error="Winner must match Team 1 or Team 2." type="list">
      <formula1>=INDIRECT("C16:D16")</formula1>
    </dataValidation>
    <dataValidation sqref="F16" showDropDown="0" showInputMessage="0" showErrorMessage="0" allowBlank="1" errorTitle="Invalid games" error="Series length must be 4, 5, 6, or 7." type="whole" operator="between">
      <formula1>4</formula1>
      <formula2>7</formula2>
    </dataValidation>
    <dataValidation sqref="F17" showDropDown="0" showInputMessage="0" showErrorMessage="0" allowBlank="1" errorTitle="Invalid value" error="Enter a non-negative integer." type="whole" operator="between">
      <formula1>0</formula1>
      <formula2>200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18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4" customWidth="1" min="4" max="4"/>
    <col width="18" customWidth="1" min="5" max="5"/>
    <col width="10" customWidth="1" min="6" max="6"/>
    <col width="18" customWidth="1" min="7" max="7"/>
    <col width="10" customWidth="1" min="8" max="8"/>
    <col width="18" customWidth="1" min="9" max="9"/>
    <col width="10" customWidth="1" min="10" max="10"/>
    <col width="18" customWidth="1" min="11" max="11"/>
    <col width="10" customWidth="1" min="12" max="12"/>
    <col width="18" customWidth="1" min="13" max="13"/>
    <col width="10" customWidth="1" min="14" max="14"/>
    <col width="18" customWidth="1" min="15" max="15"/>
    <col width="10" customWidth="1" min="16" max="16"/>
    <col width="18" customWidth="1" min="17" max="17"/>
    <col width="10" customWidth="1" min="18" max="18"/>
    <col width="18" customWidth="1" min="19" max="19"/>
    <col width="10" customWidth="1" min="20" max="20"/>
    <col width="18" customWidth="1" min="21" max="21"/>
    <col width="10" customWidth="1" min="22" max="22"/>
    <col width="18" customWidth="1" min="23" max="23"/>
    <col width="10" customWidth="1" min="24" max="24"/>
    <col width="18" customWidth="1" min="25" max="25"/>
    <col width="10" customWidth="1" min="26" max="26"/>
    <col width="18" customWidth="1" min="27" max="27"/>
    <col width="10" customWidth="1" min="28" max="28"/>
    <col width="18" customWidth="1" min="29" max="29"/>
    <col width="10" customWidth="1" min="30" max="30"/>
    <col width="18" customWidth="1" min="31" max="31"/>
    <col width="10" customWidth="1" min="32" max="32"/>
    <col width="18" customWidth="1" min="33" max="33"/>
    <col width="10" customWidth="1" min="34" max="34"/>
    <col width="18" customWidth="1" min="35" max="35"/>
    <col width="10" customWidth="1" min="36" max="36"/>
    <col width="18" customWidth="1" min="37" max="37"/>
    <col width="10" customWidth="1" min="38" max="38"/>
    <col width="18" customWidth="1" min="39" max="39"/>
    <col width="10" customWidth="1" min="40" max="40"/>
    <col width="18" customWidth="1" min="41" max="41"/>
    <col width="10" customWidth="1" min="42" max="42"/>
    <col width="18" customWidth="1" min="43" max="43"/>
    <col width="10" customWidth="1" min="44" max="44"/>
  </cols>
  <sheetData>
    <row r="1">
      <c r="A1" s="4" t="inlineStr">
        <is>
          <t>Series  /  Actual Results</t>
        </is>
      </c>
      <c r="E1" s="12" t="inlineStr">
        <is>
          <t>Player 1</t>
        </is>
      </c>
      <c r="G1" s="12" t="inlineStr">
        <is>
          <t>Player 2</t>
        </is>
      </c>
      <c r="I1" s="12" t="inlineStr">
        <is>
          <t>Player 3</t>
        </is>
      </c>
      <c r="K1" s="12" t="inlineStr">
        <is>
          <t>Player 4</t>
        </is>
      </c>
      <c r="M1" s="12" t="inlineStr">
        <is>
          <t>Player 5</t>
        </is>
      </c>
      <c r="O1" s="12" t="inlineStr">
        <is>
          <t>Player 6</t>
        </is>
      </c>
      <c r="Q1" s="12" t="inlineStr">
        <is>
          <t>Player 7</t>
        </is>
      </c>
      <c r="S1" s="12" t="inlineStr">
        <is>
          <t>Player 8</t>
        </is>
      </c>
      <c r="U1" s="12" t="inlineStr">
        <is>
          <t>Player 9</t>
        </is>
      </c>
      <c r="W1" s="12" t="inlineStr">
        <is>
          <t>Player 10</t>
        </is>
      </c>
      <c r="Y1" s="12" t="inlineStr">
        <is>
          <t>Player 11</t>
        </is>
      </c>
      <c r="AA1" s="12" t="inlineStr">
        <is>
          <t>Player 12</t>
        </is>
      </c>
      <c r="AC1" s="12" t="inlineStr">
        <is>
          <t>Player 13</t>
        </is>
      </c>
      <c r="AE1" s="12" t="inlineStr">
        <is>
          <t>Player 14</t>
        </is>
      </c>
      <c r="AG1" s="12" t="inlineStr">
        <is>
          <t>Player 15</t>
        </is>
      </c>
      <c r="AI1" s="12" t="inlineStr">
        <is>
          <t>Player 16</t>
        </is>
      </c>
      <c r="AK1" s="12" t="inlineStr">
        <is>
          <t>Player 17</t>
        </is>
      </c>
      <c r="AM1" s="12" t="inlineStr">
        <is>
          <t>Player 18</t>
        </is>
      </c>
      <c r="AO1" s="12" t="inlineStr">
        <is>
          <t>Player 19</t>
        </is>
      </c>
      <c r="AQ1" s="12" t="inlineStr">
        <is>
          <t>Player 20</t>
        </is>
      </c>
    </row>
    <row r="2">
      <c r="A2" s="13" t="inlineStr">
        <is>
          <t>Round</t>
        </is>
      </c>
      <c r="B2" s="13" t="inlineStr">
        <is>
          <t>Series</t>
        </is>
      </c>
      <c r="C2" s="13" t="inlineStr">
        <is>
          <t>Actual Winner</t>
        </is>
      </c>
      <c r="D2" s="13" t="inlineStr">
        <is>
          <t>Actual Games</t>
        </is>
      </c>
      <c r="E2" s="13" t="inlineStr">
        <is>
          <t>Winner Pick</t>
        </is>
      </c>
      <c r="F2" s="13" t="inlineStr">
        <is>
          <t>Games Pick</t>
        </is>
      </c>
      <c r="G2" s="13" t="inlineStr">
        <is>
          <t>Winner Pick</t>
        </is>
      </c>
      <c r="H2" s="13" t="inlineStr">
        <is>
          <t>Games Pick</t>
        </is>
      </c>
      <c r="I2" s="13" t="inlineStr">
        <is>
          <t>Winner Pick</t>
        </is>
      </c>
      <c r="J2" s="13" t="inlineStr">
        <is>
          <t>Games Pick</t>
        </is>
      </c>
      <c r="K2" s="13" t="inlineStr">
        <is>
          <t>Winner Pick</t>
        </is>
      </c>
      <c r="L2" s="13" t="inlineStr">
        <is>
          <t>Games Pick</t>
        </is>
      </c>
      <c r="M2" s="13" t="inlineStr">
        <is>
          <t>Winner Pick</t>
        </is>
      </c>
      <c r="N2" s="13" t="inlineStr">
        <is>
          <t>Games Pick</t>
        </is>
      </c>
      <c r="O2" s="13" t="inlineStr">
        <is>
          <t>Winner Pick</t>
        </is>
      </c>
      <c r="P2" s="13" t="inlineStr">
        <is>
          <t>Games Pick</t>
        </is>
      </c>
      <c r="Q2" s="13" t="inlineStr">
        <is>
          <t>Winner Pick</t>
        </is>
      </c>
      <c r="R2" s="13" t="inlineStr">
        <is>
          <t>Games Pick</t>
        </is>
      </c>
      <c r="S2" s="13" t="inlineStr">
        <is>
          <t>Winner Pick</t>
        </is>
      </c>
      <c r="T2" s="13" t="inlineStr">
        <is>
          <t>Games Pick</t>
        </is>
      </c>
      <c r="U2" s="13" t="inlineStr">
        <is>
          <t>Winner Pick</t>
        </is>
      </c>
      <c r="V2" s="13" t="inlineStr">
        <is>
          <t>Games Pick</t>
        </is>
      </c>
      <c r="W2" s="13" t="inlineStr">
        <is>
          <t>Winner Pick</t>
        </is>
      </c>
      <c r="X2" s="13" t="inlineStr">
        <is>
          <t>Games Pick</t>
        </is>
      </c>
      <c r="Y2" s="13" t="inlineStr">
        <is>
          <t>Winner Pick</t>
        </is>
      </c>
      <c r="Z2" s="13" t="inlineStr">
        <is>
          <t>Games Pick</t>
        </is>
      </c>
      <c r="AA2" s="13" t="inlineStr">
        <is>
          <t>Winner Pick</t>
        </is>
      </c>
      <c r="AB2" s="13" t="inlineStr">
        <is>
          <t>Games Pick</t>
        </is>
      </c>
      <c r="AC2" s="13" t="inlineStr">
        <is>
          <t>Winner Pick</t>
        </is>
      </c>
      <c r="AD2" s="13" t="inlineStr">
        <is>
          <t>Games Pick</t>
        </is>
      </c>
      <c r="AE2" s="13" t="inlineStr">
        <is>
          <t>Winner Pick</t>
        </is>
      </c>
      <c r="AF2" s="13" t="inlineStr">
        <is>
          <t>Games Pick</t>
        </is>
      </c>
      <c r="AG2" s="13" t="inlineStr">
        <is>
          <t>Winner Pick</t>
        </is>
      </c>
      <c r="AH2" s="13" t="inlineStr">
        <is>
          <t>Games Pick</t>
        </is>
      </c>
      <c r="AI2" s="13" t="inlineStr">
        <is>
          <t>Winner Pick</t>
        </is>
      </c>
      <c r="AJ2" s="13" t="inlineStr">
        <is>
          <t>Games Pick</t>
        </is>
      </c>
      <c r="AK2" s="13" t="inlineStr">
        <is>
          <t>Winner Pick</t>
        </is>
      </c>
      <c r="AL2" s="13" t="inlineStr">
        <is>
          <t>Games Pick</t>
        </is>
      </c>
      <c r="AM2" s="13" t="inlineStr">
        <is>
          <t>Winner Pick</t>
        </is>
      </c>
      <c r="AN2" s="13" t="inlineStr">
        <is>
          <t>Games Pick</t>
        </is>
      </c>
      <c r="AO2" s="13" t="inlineStr">
        <is>
          <t>Winner Pick</t>
        </is>
      </c>
      <c r="AP2" s="13" t="inlineStr">
        <is>
          <t>Games Pick</t>
        </is>
      </c>
      <c r="AQ2" s="13" t="inlineStr">
        <is>
          <t>Winner Pick</t>
        </is>
      </c>
      <c r="AR2" s="13" t="inlineStr">
        <is>
          <t>Games Pick</t>
        </is>
      </c>
    </row>
    <row r="3">
      <c r="A3" s="5" t="inlineStr">
        <is>
          <t>Round 1</t>
        </is>
      </c>
      <c r="B3" s="5" t="inlineStr">
        <is>
          <t>E1</t>
        </is>
      </c>
      <c r="C3" s="7">
        <f>IF(Bracket!E2="","",Bracket!E2)</f>
        <v/>
      </c>
      <c r="D3" s="7">
        <f>IF(Bracket!F2="","",Bracket!F2)</f>
        <v/>
      </c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</row>
    <row r="4">
      <c r="A4" s="5" t="inlineStr">
        <is>
          <t>Round 1</t>
        </is>
      </c>
      <c r="B4" s="5" t="inlineStr">
        <is>
          <t>E2</t>
        </is>
      </c>
      <c r="C4" s="7">
        <f>IF(Bracket!E3="","",Bracket!E3)</f>
        <v/>
      </c>
      <c r="D4" s="7">
        <f>IF(Bracket!F3="","",Bracket!F3)</f>
        <v/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</row>
    <row r="5">
      <c r="A5" s="5" t="inlineStr">
        <is>
          <t>Round 1</t>
        </is>
      </c>
      <c r="B5" s="5" t="inlineStr">
        <is>
          <t>E3</t>
        </is>
      </c>
      <c r="C5" s="7">
        <f>IF(Bracket!E4="","",Bracket!E4)</f>
        <v/>
      </c>
      <c r="D5" s="7">
        <f>IF(Bracket!F4="","",Bracket!F4)</f>
        <v/>
      </c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</row>
    <row r="6">
      <c r="A6" s="5" t="inlineStr">
        <is>
          <t>Round 1</t>
        </is>
      </c>
      <c r="B6" s="5" t="inlineStr">
        <is>
          <t>E4</t>
        </is>
      </c>
      <c r="C6" s="7">
        <f>IF(Bracket!E5="","",Bracket!E5)</f>
        <v/>
      </c>
      <c r="D6" s="7">
        <f>IF(Bracket!F5="","",Bracket!F5)</f>
        <v/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</row>
    <row r="7">
      <c r="A7" s="5" t="inlineStr">
        <is>
          <t>Round 1</t>
        </is>
      </c>
      <c r="B7" s="5" t="inlineStr">
        <is>
          <t>W1</t>
        </is>
      </c>
      <c r="C7" s="7">
        <f>IF(Bracket!E6="","",Bracket!E6)</f>
        <v/>
      </c>
      <c r="D7" s="7">
        <f>IF(Bracket!F6="","",Bracket!F6)</f>
        <v/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</row>
    <row r="8">
      <c r="A8" s="5" t="inlineStr">
        <is>
          <t>Round 1</t>
        </is>
      </c>
      <c r="B8" s="5" t="inlineStr">
        <is>
          <t>W2</t>
        </is>
      </c>
      <c r="C8" s="7">
        <f>IF(Bracket!E7="","",Bracket!E7)</f>
        <v/>
      </c>
      <c r="D8" s="7">
        <f>IF(Bracket!F7="","",Bracket!F7)</f>
        <v/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</row>
    <row r="9">
      <c r="A9" s="5" t="inlineStr">
        <is>
          <t>Round 1</t>
        </is>
      </c>
      <c r="B9" s="5" t="inlineStr">
        <is>
          <t>W3</t>
        </is>
      </c>
      <c r="C9" s="7">
        <f>IF(Bracket!E8="","",Bracket!E8)</f>
        <v/>
      </c>
      <c r="D9" s="7">
        <f>IF(Bracket!F8="","",Bracket!F8)</f>
        <v/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</row>
    <row r="10">
      <c r="A10" s="5" t="inlineStr">
        <is>
          <t>Round 1</t>
        </is>
      </c>
      <c r="B10" s="5" t="inlineStr">
        <is>
          <t>W4</t>
        </is>
      </c>
      <c r="C10" s="7">
        <f>IF(Bracket!E9="","",Bracket!E9)</f>
        <v/>
      </c>
      <c r="D10" s="7">
        <f>IF(Bracket!F9="","",Bracket!F9)</f>
        <v/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</row>
    <row r="11">
      <c r="A11" s="8" t="inlineStr">
        <is>
          <t>Round 2</t>
        </is>
      </c>
      <c r="B11" s="8" t="inlineStr">
        <is>
          <t>E5</t>
        </is>
      </c>
      <c r="C11" s="7">
        <f>IF(Bracket!E10="","",Bracket!E10)</f>
        <v/>
      </c>
      <c r="D11" s="7">
        <f>IF(Bracket!F10="","",Bracket!F10)</f>
        <v/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</row>
    <row r="12">
      <c r="A12" s="8" t="inlineStr">
        <is>
          <t>Round 2</t>
        </is>
      </c>
      <c r="B12" s="8" t="inlineStr">
        <is>
          <t>E6</t>
        </is>
      </c>
      <c r="C12" s="7">
        <f>IF(Bracket!E11="","",Bracket!E11)</f>
        <v/>
      </c>
      <c r="D12" s="7">
        <f>IF(Bracket!F11="","",Bracket!F11)</f>
        <v/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</row>
    <row r="13">
      <c r="A13" s="8" t="inlineStr">
        <is>
          <t>Round 2</t>
        </is>
      </c>
      <c r="B13" s="8" t="inlineStr">
        <is>
          <t>W5</t>
        </is>
      </c>
      <c r="C13" s="7">
        <f>IF(Bracket!E12="","",Bracket!E12)</f>
        <v/>
      </c>
      <c r="D13" s="7">
        <f>IF(Bracket!F12="","",Bracket!F12)</f>
        <v/>
      </c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</row>
    <row r="14">
      <c r="A14" s="8" t="inlineStr">
        <is>
          <t>Round 2</t>
        </is>
      </c>
      <c r="B14" s="8" t="inlineStr">
        <is>
          <t>W6</t>
        </is>
      </c>
      <c r="C14" s="7">
        <f>IF(Bracket!E13="","",Bracket!E13)</f>
        <v/>
      </c>
      <c r="D14" s="7">
        <f>IF(Bracket!F13="","",Bracket!F13)</f>
        <v/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</row>
    <row r="15">
      <c r="A15" s="9" t="inlineStr">
        <is>
          <t>Conference Final</t>
        </is>
      </c>
      <c r="B15" s="9" t="inlineStr">
        <is>
          <t>E7</t>
        </is>
      </c>
      <c r="C15" s="7">
        <f>IF(Bracket!E14="","",Bracket!E14)</f>
        <v/>
      </c>
      <c r="D15" s="7">
        <f>IF(Bracket!F14="","",Bracket!F14)</f>
        <v/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</row>
    <row r="16">
      <c r="A16" s="9" t="inlineStr">
        <is>
          <t>Conference Final</t>
        </is>
      </c>
      <c r="B16" s="9" t="inlineStr">
        <is>
          <t>W7</t>
        </is>
      </c>
      <c r="C16" s="7">
        <f>IF(Bracket!E15="","",Bracket!E15)</f>
        <v/>
      </c>
      <c r="D16" s="7">
        <f>IF(Bracket!F15="","",Bracket!F15)</f>
        <v/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</row>
    <row r="17">
      <c r="A17" s="10" t="inlineStr">
        <is>
          <t>Stanley Cup Final</t>
        </is>
      </c>
      <c r="B17" s="10" t="inlineStr">
        <is>
          <t>SCF</t>
        </is>
      </c>
      <c r="C17" s="7">
        <f>IF(Bracket!E16="","",Bracket!E16)</f>
        <v/>
      </c>
      <c r="D17" s="7">
        <f>IF(Bracket!F16="","",Bracket!F16)</f>
        <v/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</row>
    <row r="18">
      <c r="A18" s="14" t="inlineStr">
        <is>
          <t>Tiebreaker — Cup Final Total Goals</t>
        </is>
      </c>
      <c r="C18" s="7">
        <f>IF(Bracket!F17="","",Bracket!F17)</f>
        <v/>
      </c>
      <c r="D18" s="15" t="n"/>
      <c r="E18" s="6" t="n"/>
      <c r="G18" s="6" t="n"/>
      <c r="I18" s="6" t="n"/>
      <c r="K18" s="6" t="n"/>
      <c r="M18" s="6" t="n"/>
      <c r="O18" s="6" t="n"/>
      <c r="Q18" s="6" t="n"/>
      <c r="S18" s="6" t="n"/>
      <c r="U18" s="6" t="n"/>
      <c r="W18" s="6" t="n"/>
      <c r="Y18" s="6" t="n"/>
      <c r="AA18" s="6" t="n"/>
      <c r="AC18" s="6" t="n"/>
      <c r="AE18" s="6" t="n"/>
      <c r="AG18" s="6" t="n"/>
      <c r="AI18" s="6" t="n"/>
      <c r="AK18" s="6" t="n"/>
      <c r="AM18" s="6" t="n"/>
      <c r="AO18" s="6" t="n"/>
      <c r="AQ18" s="6" t="n"/>
    </row>
  </sheetData>
  <mergeCells count="42">
    <mergeCell ref="AG1:AH1"/>
    <mergeCell ref="AI1:AJ1"/>
    <mergeCell ref="AA1:AB1"/>
    <mergeCell ref="O18:P18"/>
    <mergeCell ref="Q18:R18"/>
    <mergeCell ref="M1:N1"/>
    <mergeCell ref="S18:T18"/>
    <mergeCell ref="AM18:AN18"/>
    <mergeCell ref="AC18:AD18"/>
    <mergeCell ref="AE18:AF18"/>
    <mergeCell ref="AK18:AL18"/>
    <mergeCell ref="E1:F1"/>
    <mergeCell ref="K1:L1"/>
    <mergeCell ref="W1:X1"/>
    <mergeCell ref="O1:P1"/>
    <mergeCell ref="Y1:Z1"/>
    <mergeCell ref="A18:B18"/>
    <mergeCell ref="G18:H18"/>
    <mergeCell ref="AO18:AP18"/>
    <mergeCell ref="I18:J18"/>
    <mergeCell ref="AQ18:AR18"/>
    <mergeCell ref="AM1:AN1"/>
    <mergeCell ref="A1:D1"/>
    <mergeCell ref="Q1:R1"/>
    <mergeCell ref="AK1:AL1"/>
    <mergeCell ref="AC1:AD1"/>
    <mergeCell ref="AO1:AP1"/>
    <mergeCell ref="M18:N18"/>
    <mergeCell ref="AE1:AF1"/>
    <mergeCell ref="AQ1:AR1"/>
    <mergeCell ref="U18:V18"/>
    <mergeCell ref="W18:X18"/>
    <mergeCell ref="Y18:Z18"/>
    <mergeCell ref="I1:J1"/>
    <mergeCell ref="AA18:AB18"/>
    <mergeCell ref="AG18:AH18"/>
    <mergeCell ref="AI18:AJ18"/>
    <mergeCell ref="G1:H1"/>
    <mergeCell ref="S1:T1"/>
    <mergeCell ref="U1:V1"/>
    <mergeCell ref="E18:F18"/>
    <mergeCell ref="K18:L18"/>
  </mergeCells>
  <conditionalFormatting sqref="E3:AR18">
    <cfRule type="expression" priority="1" dxfId="0">
      <formula>PICKS_LOCKED=TRUE</formula>
    </cfRule>
  </conditionalFormatting>
  <dataValidations count="620">
    <dataValidation sqref="E3" showDropDown="0" showInputMessage="0" showErrorMessage="0" allowBlank="1" errorTitle="Invalid winner pick" error="Pick must be one of the two teams in that series." type="list">
      <formula1>=Bracket!$C$2:$D$2</formula1>
    </dataValidation>
    <dataValidation sqref="F3" showDropDown="0" showInputMessage="0" showErrorMessage="0" allowBlank="1" errorTitle="Invalid games pick" error="Enter 4, 5, 6, or 7." type="whole" operator="between">
      <formula1>4</formula1>
      <formula2>7</formula2>
    </dataValidation>
    <dataValidation sqref="E4" showDropDown="0" showInputMessage="0" showErrorMessage="0" allowBlank="1" errorTitle="Invalid winner pick" error="Pick must be one of the two teams in that series." type="list">
      <formula1>=Bracket!$C$3:$D$3</formula1>
    </dataValidation>
    <dataValidation sqref="F4" showDropDown="0" showInputMessage="0" showErrorMessage="0" allowBlank="1" errorTitle="Invalid games pick" error="Enter 4, 5, 6, or 7." type="whole" operator="between">
      <formula1>4</formula1>
      <formula2>7</formula2>
    </dataValidation>
    <dataValidation sqref="E5" showDropDown="0" showInputMessage="0" showErrorMessage="0" allowBlank="1" errorTitle="Invalid winner pick" error="Pick must be one of the two teams in that series." type="list">
      <formula1>=Bracket!$C$4:$D$4</formula1>
    </dataValidation>
    <dataValidation sqref="F5" showDropDown="0" showInputMessage="0" showErrorMessage="0" allowBlank="1" errorTitle="Invalid games pick" error="Enter 4, 5, 6, or 7." type="whole" operator="between">
      <formula1>4</formula1>
      <formula2>7</formula2>
    </dataValidation>
    <dataValidation sqref="E6" showDropDown="0" showInputMessage="0" showErrorMessage="0" allowBlank="1" errorTitle="Invalid winner pick" error="Pick must be one of the two teams in that series." type="list">
      <formula1>=Bracket!$C$5:$D$5</formula1>
    </dataValidation>
    <dataValidation sqref="F6" showDropDown="0" showInputMessage="0" showErrorMessage="0" allowBlank="1" errorTitle="Invalid games pick" error="Enter 4, 5, 6, or 7." type="whole" operator="between">
      <formula1>4</formula1>
      <formula2>7</formula2>
    </dataValidation>
    <dataValidation sqref="E7" showDropDown="0" showInputMessage="0" showErrorMessage="0" allowBlank="1" errorTitle="Invalid winner pick" error="Pick must be one of the two teams in that series." type="list">
      <formula1>=Bracket!$C$6:$D$6</formula1>
    </dataValidation>
    <dataValidation sqref="F7" showDropDown="0" showInputMessage="0" showErrorMessage="0" allowBlank="1" errorTitle="Invalid games pick" error="Enter 4, 5, 6, or 7." type="whole" operator="between">
      <formula1>4</formula1>
      <formula2>7</formula2>
    </dataValidation>
    <dataValidation sqref="E8" showDropDown="0" showInputMessage="0" showErrorMessage="0" allowBlank="1" errorTitle="Invalid winner pick" error="Pick must be one of the two teams in that series." type="list">
      <formula1>=Bracket!$C$7:$D$7</formula1>
    </dataValidation>
    <dataValidation sqref="F8" showDropDown="0" showInputMessage="0" showErrorMessage="0" allowBlank="1" errorTitle="Invalid games pick" error="Enter 4, 5, 6, or 7." type="whole" operator="between">
      <formula1>4</formula1>
      <formula2>7</formula2>
    </dataValidation>
    <dataValidation sqref="E9" showDropDown="0" showInputMessage="0" showErrorMessage="0" allowBlank="1" errorTitle="Invalid winner pick" error="Pick must be one of the two teams in that series." type="list">
      <formula1>=Bracket!$C$8:$D$8</formula1>
    </dataValidation>
    <dataValidation sqref="F9" showDropDown="0" showInputMessage="0" showErrorMessage="0" allowBlank="1" errorTitle="Invalid games pick" error="Enter 4, 5, 6, or 7." type="whole" operator="between">
      <formula1>4</formula1>
      <formula2>7</formula2>
    </dataValidation>
    <dataValidation sqref="E10" showDropDown="0" showInputMessage="0" showErrorMessage="0" allowBlank="1" errorTitle="Invalid winner pick" error="Pick must be one of the two teams in that series." type="list">
      <formula1>=Bracket!$C$9:$D$9</formula1>
    </dataValidation>
    <dataValidation sqref="F10" showDropDown="0" showInputMessage="0" showErrorMessage="0" allowBlank="1" errorTitle="Invalid games pick" error="Enter 4, 5, 6, or 7." type="whole" operator="between">
      <formula1>4</formula1>
      <formula2>7</formula2>
    </dataValidation>
    <dataValidation sqref="E11" showDropDown="0" showInputMessage="0" showErrorMessage="0" allowBlank="1" errorTitle="Invalid winner pick" error="Pick must be one of the two teams in that series." type="list">
      <formula1>=Bracket!$C$10:$D$10</formula1>
    </dataValidation>
    <dataValidation sqref="F11" showDropDown="0" showInputMessage="0" showErrorMessage="0" allowBlank="1" errorTitle="Invalid games pick" error="Enter 4, 5, 6, or 7." type="whole" operator="between">
      <formula1>4</formula1>
      <formula2>7</formula2>
    </dataValidation>
    <dataValidation sqref="E12" showDropDown="0" showInputMessage="0" showErrorMessage="0" allowBlank="1" errorTitle="Invalid winner pick" error="Pick must be one of the two teams in that series." type="list">
      <formula1>=Bracket!$C$11:$D$11</formula1>
    </dataValidation>
    <dataValidation sqref="F12" showDropDown="0" showInputMessage="0" showErrorMessage="0" allowBlank="1" errorTitle="Invalid games pick" error="Enter 4, 5, 6, or 7." type="whole" operator="between">
      <formula1>4</formula1>
      <formula2>7</formula2>
    </dataValidation>
    <dataValidation sqref="E13" showDropDown="0" showInputMessage="0" showErrorMessage="0" allowBlank="1" errorTitle="Invalid winner pick" error="Pick must be one of the two teams in that series." type="list">
      <formula1>=Bracket!$C$12:$D$12</formula1>
    </dataValidation>
    <dataValidation sqref="F13" showDropDown="0" showInputMessage="0" showErrorMessage="0" allowBlank="1" errorTitle="Invalid games pick" error="Enter 4, 5, 6, or 7." type="whole" operator="between">
      <formula1>4</formula1>
      <formula2>7</formula2>
    </dataValidation>
    <dataValidation sqref="E14" showDropDown="0" showInputMessage="0" showErrorMessage="0" allowBlank="1" errorTitle="Invalid winner pick" error="Pick must be one of the two teams in that series." type="list">
      <formula1>=Bracket!$C$13:$D$13</formula1>
    </dataValidation>
    <dataValidation sqref="F14" showDropDown="0" showInputMessage="0" showErrorMessage="0" allowBlank="1" errorTitle="Invalid games pick" error="Enter 4, 5, 6, or 7." type="whole" operator="between">
      <formula1>4</formula1>
      <formula2>7</formula2>
    </dataValidation>
    <dataValidation sqref="E15" showDropDown="0" showInputMessage="0" showErrorMessage="0" allowBlank="1" errorTitle="Invalid winner pick" error="Pick must be one of the two teams in that series." type="list">
      <formula1>=Bracket!$C$14:$D$14</formula1>
    </dataValidation>
    <dataValidation sqref="F15" showDropDown="0" showInputMessage="0" showErrorMessage="0" allowBlank="1" errorTitle="Invalid games pick" error="Enter 4, 5, 6, or 7." type="whole" operator="between">
      <formula1>4</formula1>
      <formula2>7</formula2>
    </dataValidation>
    <dataValidation sqref="E16" showDropDown="0" showInputMessage="0" showErrorMessage="0" allowBlank="1" errorTitle="Invalid winner pick" error="Pick must be one of the two teams in that series." type="list">
      <formula1>=Bracket!$C$15:$D$15</formula1>
    </dataValidation>
    <dataValidation sqref="F16" showDropDown="0" showInputMessage="0" showErrorMessage="0" allowBlank="1" errorTitle="Invalid games pick" error="Enter 4, 5, 6, or 7." type="whole" operator="between">
      <formula1>4</formula1>
      <formula2>7</formula2>
    </dataValidation>
    <dataValidation sqref="E17" showDropDown="0" showInputMessage="0" showErrorMessage="0" allowBlank="1" errorTitle="Invalid winner pick" error="Pick must be one of the two teams in that series." type="list">
      <formula1>=Bracket!$C$16:$D$16</formula1>
    </dataValidation>
    <dataValidation sqref="F17" showDropDown="0" showInputMessage="0" showErrorMessage="0" allowBlank="1" errorTitle="Invalid games pick" error="Enter 4, 5, 6, or 7." type="whole" operator="between">
      <formula1>4</formula1>
      <formula2>7</formula2>
    </dataValidation>
    <dataValidation sqref="E18" showDropDown="0" showInputMessage="0" showErrorMessage="0" allowBlank="1" errorTitle="Invalid guess" error="Enter a non-negative integer." type="whole" operator="between">
      <formula1>0</formula1>
      <formula2>200</formula2>
    </dataValidation>
    <dataValidation sqref="G3" showDropDown="0" showInputMessage="0" showErrorMessage="0" allowBlank="1" errorTitle="Invalid winner pick" error="Pick must be one of the two teams in that series." type="list">
      <formula1>=Bracket!$C$2:$D$2</formula1>
    </dataValidation>
    <dataValidation sqref="H3" showDropDown="0" showInputMessage="0" showErrorMessage="0" allowBlank="1" errorTitle="Invalid games pick" error="Enter 4, 5, 6, or 7." type="whole" operator="between">
      <formula1>4</formula1>
      <formula2>7</formula2>
    </dataValidation>
    <dataValidation sqref="G4" showDropDown="0" showInputMessage="0" showErrorMessage="0" allowBlank="1" errorTitle="Invalid winner pick" error="Pick must be one of the two teams in that series." type="list">
      <formula1>=Bracket!$C$3:$D$3</formula1>
    </dataValidation>
    <dataValidation sqref="H4" showDropDown="0" showInputMessage="0" showErrorMessage="0" allowBlank="1" errorTitle="Invalid games pick" error="Enter 4, 5, 6, or 7." type="whole" operator="between">
      <formula1>4</formula1>
      <formula2>7</formula2>
    </dataValidation>
    <dataValidation sqref="G5" showDropDown="0" showInputMessage="0" showErrorMessage="0" allowBlank="1" errorTitle="Invalid winner pick" error="Pick must be one of the two teams in that series." type="list">
      <formula1>=Bracket!$C$4:$D$4</formula1>
    </dataValidation>
    <dataValidation sqref="H5" showDropDown="0" showInputMessage="0" showErrorMessage="0" allowBlank="1" errorTitle="Invalid games pick" error="Enter 4, 5, 6, or 7." type="whole" operator="between">
      <formula1>4</formula1>
      <formula2>7</formula2>
    </dataValidation>
    <dataValidation sqref="G6" showDropDown="0" showInputMessage="0" showErrorMessage="0" allowBlank="1" errorTitle="Invalid winner pick" error="Pick must be one of the two teams in that series." type="list">
      <formula1>=Bracket!$C$5:$D$5</formula1>
    </dataValidation>
    <dataValidation sqref="H6" showDropDown="0" showInputMessage="0" showErrorMessage="0" allowBlank="1" errorTitle="Invalid games pick" error="Enter 4, 5, 6, or 7." type="whole" operator="between">
      <formula1>4</formula1>
      <formula2>7</formula2>
    </dataValidation>
    <dataValidation sqref="G7" showDropDown="0" showInputMessage="0" showErrorMessage="0" allowBlank="1" errorTitle="Invalid winner pick" error="Pick must be one of the two teams in that series." type="list">
      <formula1>=Bracket!$C$6:$D$6</formula1>
    </dataValidation>
    <dataValidation sqref="H7" showDropDown="0" showInputMessage="0" showErrorMessage="0" allowBlank="1" errorTitle="Invalid games pick" error="Enter 4, 5, 6, or 7." type="whole" operator="between">
      <formula1>4</formula1>
      <formula2>7</formula2>
    </dataValidation>
    <dataValidation sqref="G8" showDropDown="0" showInputMessage="0" showErrorMessage="0" allowBlank="1" errorTitle="Invalid winner pick" error="Pick must be one of the two teams in that series." type="list">
      <formula1>=Bracket!$C$7:$D$7</formula1>
    </dataValidation>
    <dataValidation sqref="H8" showDropDown="0" showInputMessage="0" showErrorMessage="0" allowBlank="1" errorTitle="Invalid games pick" error="Enter 4, 5, 6, or 7." type="whole" operator="between">
      <formula1>4</formula1>
      <formula2>7</formula2>
    </dataValidation>
    <dataValidation sqref="G9" showDropDown="0" showInputMessage="0" showErrorMessage="0" allowBlank="1" errorTitle="Invalid winner pick" error="Pick must be one of the two teams in that series." type="list">
      <formula1>=Bracket!$C$8:$D$8</formula1>
    </dataValidation>
    <dataValidation sqref="H9" showDropDown="0" showInputMessage="0" showErrorMessage="0" allowBlank="1" errorTitle="Invalid games pick" error="Enter 4, 5, 6, or 7." type="whole" operator="between">
      <formula1>4</formula1>
      <formula2>7</formula2>
    </dataValidation>
    <dataValidation sqref="G10" showDropDown="0" showInputMessage="0" showErrorMessage="0" allowBlank="1" errorTitle="Invalid winner pick" error="Pick must be one of the two teams in that series." type="list">
      <formula1>=Bracket!$C$9:$D$9</formula1>
    </dataValidation>
    <dataValidation sqref="H10" showDropDown="0" showInputMessage="0" showErrorMessage="0" allowBlank="1" errorTitle="Invalid games pick" error="Enter 4, 5, 6, or 7." type="whole" operator="between">
      <formula1>4</formula1>
      <formula2>7</formula2>
    </dataValidation>
    <dataValidation sqref="G11" showDropDown="0" showInputMessage="0" showErrorMessage="0" allowBlank="1" errorTitle="Invalid winner pick" error="Pick must be one of the two teams in that series." type="list">
      <formula1>=Bracket!$C$10:$D$10</formula1>
    </dataValidation>
    <dataValidation sqref="H11" showDropDown="0" showInputMessage="0" showErrorMessage="0" allowBlank="1" errorTitle="Invalid games pick" error="Enter 4, 5, 6, or 7." type="whole" operator="between">
      <formula1>4</formula1>
      <formula2>7</formula2>
    </dataValidation>
    <dataValidation sqref="G12" showDropDown="0" showInputMessage="0" showErrorMessage="0" allowBlank="1" errorTitle="Invalid winner pick" error="Pick must be one of the two teams in that series." type="list">
      <formula1>=Bracket!$C$11:$D$11</formula1>
    </dataValidation>
    <dataValidation sqref="H12" showDropDown="0" showInputMessage="0" showErrorMessage="0" allowBlank="1" errorTitle="Invalid games pick" error="Enter 4, 5, 6, or 7." type="whole" operator="between">
      <formula1>4</formula1>
      <formula2>7</formula2>
    </dataValidation>
    <dataValidation sqref="G13" showDropDown="0" showInputMessage="0" showErrorMessage="0" allowBlank="1" errorTitle="Invalid winner pick" error="Pick must be one of the two teams in that series." type="list">
      <formula1>=Bracket!$C$12:$D$12</formula1>
    </dataValidation>
    <dataValidation sqref="H13" showDropDown="0" showInputMessage="0" showErrorMessage="0" allowBlank="1" errorTitle="Invalid games pick" error="Enter 4, 5, 6, or 7." type="whole" operator="between">
      <formula1>4</formula1>
      <formula2>7</formula2>
    </dataValidation>
    <dataValidation sqref="G14" showDropDown="0" showInputMessage="0" showErrorMessage="0" allowBlank="1" errorTitle="Invalid winner pick" error="Pick must be one of the two teams in that series." type="list">
      <formula1>=Bracket!$C$13:$D$13</formula1>
    </dataValidation>
    <dataValidation sqref="H14" showDropDown="0" showInputMessage="0" showErrorMessage="0" allowBlank="1" errorTitle="Invalid games pick" error="Enter 4, 5, 6, or 7." type="whole" operator="between">
      <formula1>4</formula1>
      <formula2>7</formula2>
    </dataValidation>
    <dataValidation sqref="G15" showDropDown="0" showInputMessage="0" showErrorMessage="0" allowBlank="1" errorTitle="Invalid winner pick" error="Pick must be one of the two teams in that series." type="list">
      <formula1>=Bracket!$C$14:$D$14</formula1>
    </dataValidation>
    <dataValidation sqref="H15" showDropDown="0" showInputMessage="0" showErrorMessage="0" allowBlank="1" errorTitle="Invalid games pick" error="Enter 4, 5, 6, or 7." type="whole" operator="between">
      <formula1>4</formula1>
      <formula2>7</formula2>
    </dataValidation>
    <dataValidation sqref="G16" showDropDown="0" showInputMessage="0" showErrorMessage="0" allowBlank="1" errorTitle="Invalid winner pick" error="Pick must be one of the two teams in that series." type="list">
      <formula1>=Bracket!$C$15:$D$15</formula1>
    </dataValidation>
    <dataValidation sqref="H16" showDropDown="0" showInputMessage="0" showErrorMessage="0" allowBlank="1" errorTitle="Invalid games pick" error="Enter 4, 5, 6, or 7." type="whole" operator="between">
      <formula1>4</formula1>
      <formula2>7</formula2>
    </dataValidation>
    <dataValidation sqref="G17" showDropDown="0" showInputMessage="0" showErrorMessage="0" allowBlank="1" errorTitle="Invalid winner pick" error="Pick must be one of the two teams in that series." type="list">
      <formula1>=Bracket!$C$16:$D$16</formula1>
    </dataValidation>
    <dataValidation sqref="H17" showDropDown="0" showInputMessage="0" showErrorMessage="0" allowBlank="1" errorTitle="Invalid games pick" error="Enter 4, 5, 6, or 7." type="whole" operator="between">
      <formula1>4</formula1>
      <formula2>7</formula2>
    </dataValidation>
    <dataValidation sqref="G18" showDropDown="0" showInputMessage="0" showErrorMessage="0" allowBlank="1" errorTitle="Invalid guess" error="Enter a non-negative integer." type="whole" operator="between">
      <formula1>0</formula1>
      <formula2>200</formula2>
    </dataValidation>
    <dataValidation sqref="I3" showDropDown="0" showInputMessage="0" showErrorMessage="0" allowBlank="1" errorTitle="Invalid winner pick" error="Pick must be one of the two teams in that series." type="list">
      <formula1>=Bracket!$C$2:$D$2</formula1>
    </dataValidation>
    <dataValidation sqref="J3" showDropDown="0" showInputMessage="0" showErrorMessage="0" allowBlank="1" errorTitle="Invalid games pick" error="Enter 4, 5, 6, or 7." type="whole" operator="between">
      <formula1>4</formula1>
      <formula2>7</formula2>
    </dataValidation>
    <dataValidation sqref="I4" showDropDown="0" showInputMessage="0" showErrorMessage="0" allowBlank="1" errorTitle="Invalid winner pick" error="Pick must be one of the two teams in that series." type="list">
      <formula1>=Bracket!$C$3:$D$3</formula1>
    </dataValidation>
    <dataValidation sqref="J4" showDropDown="0" showInputMessage="0" showErrorMessage="0" allowBlank="1" errorTitle="Invalid games pick" error="Enter 4, 5, 6, or 7." type="whole" operator="between">
      <formula1>4</formula1>
      <formula2>7</formula2>
    </dataValidation>
    <dataValidation sqref="I5" showDropDown="0" showInputMessage="0" showErrorMessage="0" allowBlank="1" errorTitle="Invalid winner pick" error="Pick must be one of the two teams in that series." type="list">
      <formula1>=Bracket!$C$4:$D$4</formula1>
    </dataValidation>
    <dataValidation sqref="J5" showDropDown="0" showInputMessage="0" showErrorMessage="0" allowBlank="1" errorTitle="Invalid games pick" error="Enter 4, 5, 6, or 7." type="whole" operator="between">
      <formula1>4</formula1>
      <formula2>7</formula2>
    </dataValidation>
    <dataValidation sqref="I6" showDropDown="0" showInputMessage="0" showErrorMessage="0" allowBlank="1" errorTitle="Invalid winner pick" error="Pick must be one of the two teams in that series." type="list">
      <formula1>=Bracket!$C$5:$D$5</formula1>
    </dataValidation>
    <dataValidation sqref="J6" showDropDown="0" showInputMessage="0" showErrorMessage="0" allowBlank="1" errorTitle="Invalid games pick" error="Enter 4, 5, 6, or 7." type="whole" operator="between">
      <formula1>4</formula1>
      <formula2>7</formula2>
    </dataValidation>
    <dataValidation sqref="I7" showDropDown="0" showInputMessage="0" showErrorMessage="0" allowBlank="1" errorTitle="Invalid winner pick" error="Pick must be one of the two teams in that series." type="list">
      <formula1>=Bracket!$C$6:$D$6</formula1>
    </dataValidation>
    <dataValidation sqref="J7" showDropDown="0" showInputMessage="0" showErrorMessage="0" allowBlank="1" errorTitle="Invalid games pick" error="Enter 4, 5, 6, or 7." type="whole" operator="between">
      <formula1>4</formula1>
      <formula2>7</formula2>
    </dataValidation>
    <dataValidation sqref="I8" showDropDown="0" showInputMessage="0" showErrorMessage="0" allowBlank="1" errorTitle="Invalid winner pick" error="Pick must be one of the two teams in that series." type="list">
      <formula1>=Bracket!$C$7:$D$7</formula1>
    </dataValidation>
    <dataValidation sqref="J8" showDropDown="0" showInputMessage="0" showErrorMessage="0" allowBlank="1" errorTitle="Invalid games pick" error="Enter 4, 5, 6, or 7." type="whole" operator="between">
      <formula1>4</formula1>
      <formula2>7</formula2>
    </dataValidation>
    <dataValidation sqref="I9" showDropDown="0" showInputMessage="0" showErrorMessage="0" allowBlank="1" errorTitle="Invalid winner pick" error="Pick must be one of the two teams in that series." type="list">
      <formula1>=Bracket!$C$8:$D$8</formula1>
    </dataValidation>
    <dataValidation sqref="J9" showDropDown="0" showInputMessage="0" showErrorMessage="0" allowBlank="1" errorTitle="Invalid games pick" error="Enter 4, 5, 6, or 7." type="whole" operator="between">
      <formula1>4</formula1>
      <formula2>7</formula2>
    </dataValidation>
    <dataValidation sqref="I10" showDropDown="0" showInputMessage="0" showErrorMessage="0" allowBlank="1" errorTitle="Invalid winner pick" error="Pick must be one of the two teams in that series." type="list">
      <formula1>=Bracket!$C$9:$D$9</formula1>
    </dataValidation>
    <dataValidation sqref="J10" showDropDown="0" showInputMessage="0" showErrorMessage="0" allowBlank="1" errorTitle="Invalid games pick" error="Enter 4, 5, 6, or 7." type="whole" operator="between">
      <formula1>4</formula1>
      <formula2>7</formula2>
    </dataValidation>
    <dataValidation sqref="I11" showDropDown="0" showInputMessage="0" showErrorMessage="0" allowBlank="1" errorTitle="Invalid winner pick" error="Pick must be one of the two teams in that series." type="list">
      <formula1>=Bracket!$C$10:$D$10</formula1>
    </dataValidation>
    <dataValidation sqref="J11" showDropDown="0" showInputMessage="0" showErrorMessage="0" allowBlank="1" errorTitle="Invalid games pick" error="Enter 4, 5, 6, or 7." type="whole" operator="between">
      <formula1>4</formula1>
      <formula2>7</formula2>
    </dataValidation>
    <dataValidation sqref="I12" showDropDown="0" showInputMessage="0" showErrorMessage="0" allowBlank="1" errorTitle="Invalid winner pick" error="Pick must be one of the two teams in that series." type="list">
      <formula1>=Bracket!$C$11:$D$11</formula1>
    </dataValidation>
    <dataValidation sqref="J12" showDropDown="0" showInputMessage="0" showErrorMessage="0" allowBlank="1" errorTitle="Invalid games pick" error="Enter 4, 5, 6, or 7." type="whole" operator="between">
      <formula1>4</formula1>
      <formula2>7</formula2>
    </dataValidation>
    <dataValidation sqref="I13" showDropDown="0" showInputMessage="0" showErrorMessage="0" allowBlank="1" errorTitle="Invalid winner pick" error="Pick must be one of the two teams in that series." type="list">
      <formula1>=Bracket!$C$12:$D$12</formula1>
    </dataValidation>
    <dataValidation sqref="J13" showDropDown="0" showInputMessage="0" showErrorMessage="0" allowBlank="1" errorTitle="Invalid games pick" error="Enter 4, 5, 6, or 7." type="whole" operator="between">
      <formula1>4</formula1>
      <formula2>7</formula2>
    </dataValidation>
    <dataValidation sqref="I14" showDropDown="0" showInputMessage="0" showErrorMessage="0" allowBlank="1" errorTitle="Invalid winner pick" error="Pick must be one of the two teams in that series." type="list">
      <formula1>=Bracket!$C$13:$D$13</formula1>
    </dataValidation>
    <dataValidation sqref="J14" showDropDown="0" showInputMessage="0" showErrorMessage="0" allowBlank="1" errorTitle="Invalid games pick" error="Enter 4, 5, 6, or 7." type="whole" operator="between">
      <formula1>4</formula1>
      <formula2>7</formula2>
    </dataValidation>
    <dataValidation sqref="I15" showDropDown="0" showInputMessage="0" showErrorMessage="0" allowBlank="1" errorTitle="Invalid winner pick" error="Pick must be one of the two teams in that series." type="list">
      <formula1>=Bracket!$C$14:$D$14</formula1>
    </dataValidation>
    <dataValidation sqref="J15" showDropDown="0" showInputMessage="0" showErrorMessage="0" allowBlank="1" errorTitle="Invalid games pick" error="Enter 4, 5, 6, or 7." type="whole" operator="between">
      <formula1>4</formula1>
      <formula2>7</formula2>
    </dataValidation>
    <dataValidation sqref="I16" showDropDown="0" showInputMessage="0" showErrorMessage="0" allowBlank="1" errorTitle="Invalid winner pick" error="Pick must be one of the two teams in that series." type="list">
      <formula1>=Bracket!$C$15:$D$15</formula1>
    </dataValidation>
    <dataValidation sqref="J16" showDropDown="0" showInputMessage="0" showErrorMessage="0" allowBlank="1" errorTitle="Invalid games pick" error="Enter 4, 5, 6, or 7." type="whole" operator="between">
      <formula1>4</formula1>
      <formula2>7</formula2>
    </dataValidation>
    <dataValidation sqref="I17" showDropDown="0" showInputMessage="0" showErrorMessage="0" allowBlank="1" errorTitle="Invalid winner pick" error="Pick must be one of the two teams in that series." type="list">
      <formula1>=Bracket!$C$16:$D$16</formula1>
    </dataValidation>
    <dataValidation sqref="J17" showDropDown="0" showInputMessage="0" showErrorMessage="0" allowBlank="1" errorTitle="Invalid games pick" error="Enter 4, 5, 6, or 7." type="whole" operator="between">
      <formula1>4</formula1>
      <formula2>7</formula2>
    </dataValidation>
    <dataValidation sqref="I18" showDropDown="0" showInputMessage="0" showErrorMessage="0" allowBlank="1" errorTitle="Invalid guess" error="Enter a non-negative integer." type="whole" operator="between">
      <formula1>0</formula1>
      <formula2>200</formula2>
    </dataValidation>
    <dataValidation sqref="K3" showDropDown="0" showInputMessage="0" showErrorMessage="0" allowBlank="1" errorTitle="Invalid winner pick" error="Pick must be one of the two teams in that series." type="list">
      <formula1>=Bracket!$C$2:$D$2</formula1>
    </dataValidation>
    <dataValidation sqref="L3" showDropDown="0" showInputMessage="0" showErrorMessage="0" allowBlank="1" errorTitle="Invalid games pick" error="Enter 4, 5, 6, or 7." type="whole" operator="between">
      <formula1>4</formula1>
      <formula2>7</formula2>
    </dataValidation>
    <dataValidation sqref="K4" showDropDown="0" showInputMessage="0" showErrorMessage="0" allowBlank="1" errorTitle="Invalid winner pick" error="Pick must be one of the two teams in that series." type="list">
      <formula1>=Bracket!$C$3:$D$3</formula1>
    </dataValidation>
    <dataValidation sqref="L4" showDropDown="0" showInputMessage="0" showErrorMessage="0" allowBlank="1" errorTitle="Invalid games pick" error="Enter 4, 5, 6, or 7." type="whole" operator="between">
      <formula1>4</formula1>
      <formula2>7</formula2>
    </dataValidation>
    <dataValidation sqref="K5" showDropDown="0" showInputMessage="0" showErrorMessage="0" allowBlank="1" errorTitle="Invalid winner pick" error="Pick must be one of the two teams in that series." type="list">
      <formula1>=Bracket!$C$4:$D$4</formula1>
    </dataValidation>
    <dataValidation sqref="L5" showDropDown="0" showInputMessage="0" showErrorMessage="0" allowBlank="1" errorTitle="Invalid games pick" error="Enter 4, 5, 6, or 7." type="whole" operator="between">
      <formula1>4</formula1>
      <formula2>7</formula2>
    </dataValidation>
    <dataValidation sqref="K6" showDropDown="0" showInputMessage="0" showErrorMessage="0" allowBlank="1" errorTitle="Invalid winner pick" error="Pick must be one of the two teams in that series." type="list">
      <formula1>=Bracket!$C$5:$D$5</formula1>
    </dataValidation>
    <dataValidation sqref="L6" showDropDown="0" showInputMessage="0" showErrorMessage="0" allowBlank="1" errorTitle="Invalid games pick" error="Enter 4, 5, 6, or 7." type="whole" operator="between">
      <formula1>4</formula1>
      <formula2>7</formula2>
    </dataValidation>
    <dataValidation sqref="K7" showDropDown="0" showInputMessage="0" showErrorMessage="0" allowBlank="1" errorTitle="Invalid winner pick" error="Pick must be one of the two teams in that series." type="list">
      <formula1>=Bracket!$C$6:$D$6</formula1>
    </dataValidation>
    <dataValidation sqref="L7" showDropDown="0" showInputMessage="0" showErrorMessage="0" allowBlank="1" errorTitle="Invalid games pick" error="Enter 4, 5, 6, or 7." type="whole" operator="between">
      <formula1>4</formula1>
      <formula2>7</formula2>
    </dataValidation>
    <dataValidation sqref="K8" showDropDown="0" showInputMessage="0" showErrorMessage="0" allowBlank="1" errorTitle="Invalid winner pick" error="Pick must be one of the two teams in that series." type="list">
      <formula1>=Bracket!$C$7:$D$7</formula1>
    </dataValidation>
    <dataValidation sqref="L8" showDropDown="0" showInputMessage="0" showErrorMessage="0" allowBlank="1" errorTitle="Invalid games pick" error="Enter 4, 5, 6, or 7." type="whole" operator="between">
      <formula1>4</formula1>
      <formula2>7</formula2>
    </dataValidation>
    <dataValidation sqref="K9" showDropDown="0" showInputMessage="0" showErrorMessage="0" allowBlank="1" errorTitle="Invalid winner pick" error="Pick must be one of the two teams in that series." type="list">
      <formula1>=Bracket!$C$8:$D$8</formula1>
    </dataValidation>
    <dataValidation sqref="L9" showDropDown="0" showInputMessage="0" showErrorMessage="0" allowBlank="1" errorTitle="Invalid games pick" error="Enter 4, 5, 6, or 7." type="whole" operator="between">
      <formula1>4</formula1>
      <formula2>7</formula2>
    </dataValidation>
    <dataValidation sqref="K10" showDropDown="0" showInputMessage="0" showErrorMessage="0" allowBlank="1" errorTitle="Invalid winner pick" error="Pick must be one of the two teams in that series." type="list">
      <formula1>=Bracket!$C$9:$D$9</formula1>
    </dataValidation>
    <dataValidation sqref="L10" showDropDown="0" showInputMessage="0" showErrorMessage="0" allowBlank="1" errorTitle="Invalid games pick" error="Enter 4, 5, 6, or 7." type="whole" operator="between">
      <formula1>4</formula1>
      <formula2>7</formula2>
    </dataValidation>
    <dataValidation sqref="K11" showDropDown="0" showInputMessage="0" showErrorMessage="0" allowBlank="1" errorTitle="Invalid winner pick" error="Pick must be one of the two teams in that series." type="list">
      <formula1>=Bracket!$C$10:$D$10</formula1>
    </dataValidation>
    <dataValidation sqref="L11" showDropDown="0" showInputMessage="0" showErrorMessage="0" allowBlank="1" errorTitle="Invalid games pick" error="Enter 4, 5, 6, or 7." type="whole" operator="between">
      <formula1>4</formula1>
      <formula2>7</formula2>
    </dataValidation>
    <dataValidation sqref="K12" showDropDown="0" showInputMessage="0" showErrorMessage="0" allowBlank="1" errorTitle="Invalid winner pick" error="Pick must be one of the two teams in that series." type="list">
      <formula1>=Bracket!$C$11:$D$11</formula1>
    </dataValidation>
    <dataValidation sqref="L12" showDropDown="0" showInputMessage="0" showErrorMessage="0" allowBlank="1" errorTitle="Invalid games pick" error="Enter 4, 5, 6, or 7." type="whole" operator="between">
      <formula1>4</formula1>
      <formula2>7</formula2>
    </dataValidation>
    <dataValidation sqref="K13" showDropDown="0" showInputMessage="0" showErrorMessage="0" allowBlank="1" errorTitle="Invalid winner pick" error="Pick must be one of the two teams in that series." type="list">
      <formula1>=Bracket!$C$12:$D$12</formula1>
    </dataValidation>
    <dataValidation sqref="L13" showDropDown="0" showInputMessage="0" showErrorMessage="0" allowBlank="1" errorTitle="Invalid games pick" error="Enter 4, 5, 6, or 7." type="whole" operator="between">
      <formula1>4</formula1>
      <formula2>7</formula2>
    </dataValidation>
    <dataValidation sqref="K14" showDropDown="0" showInputMessage="0" showErrorMessage="0" allowBlank="1" errorTitle="Invalid winner pick" error="Pick must be one of the two teams in that series." type="list">
      <formula1>=Bracket!$C$13:$D$13</formula1>
    </dataValidation>
    <dataValidation sqref="L14" showDropDown="0" showInputMessage="0" showErrorMessage="0" allowBlank="1" errorTitle="Invalid games pick" error="Enter 4, 5, 6, or 7." type="whole" operator="between">
      <formula1>4</formula1>
      <formula2>7</formula2>
    </dataValidation>
    <dataValidation sqref="K15" showDropDown="0" showInputMessage="0" showErrorMessage="0" allowBlank="1" errorTitle="Invalid winner pick" error="Pick must be one of the two teams in that series." type="list">
      <formula1>=Bracket!$C$14:$D$14</formula1>
    </dataValidation>
    <dataValidation sqref="L15" showDropDown="0" showInputMessage="0" showErrorMessage="0" allowBlank="1" errorTitle="Invalid games pick" error="Enter 4, 5, 6, or 7." type="whole" operator="between">
      <formula1>4</formula1>
      <formula2>7</formula2>
    </dataValidation>
    <dataValidation sqref="K16" showDropDown="0" showInputMessage="0" showErrorMessage="0" allowBlank="1" errorTitle="Invalid winner pick" error="Pick must be one of the two teams in that series." type="list">
      <formula1>=Bracket!$C$15:$D$15</formula1>
    </dataValidation>
    <dataValidation sqref="L16" showDropDown="0" showInputMessage="0" showErrorMessage="0" allowBlank="1" errorTitle="Invalid games pick" error="Enter 4, 5, 6, or 7." type="whole" operator="between">
      <formula1>4</formula1>
      <formula2>7</formula2>
    </dataValidation>
    <dataValidation sqref="K17" showDropDown="0" showInputMessage="0" showErrorMessage="0" allowBlank="1" errorTitle="Invalid winner pick" error="Pick must be one of the two teams in that series." type="list">
      <formula1>=Bracket!$C$16:$D$16</formula1>
    </dataValidation>
    <dataValidation sqref="L17" showDropDown="0" showInputMessage="0" showErrorMessage="0" allowBlank="1" errorTitle="Invalid games pick" error="Enter 4, 5, 6, or 7." type="whole" operator="between">
      <formula1>4</formula1>
      <formula2>7</formula2>
    </dataValidation>
    <dataValidation sqref="K18" showDropDown="0" showInputMessage="0" showErrorMessage="0" allowBlank="1" errorTitle="Invalid guess" error="Enter a non-negative integer." type="whole" operator="between">
      <formula1>0</formula1>
      <formula2>200</formula2>
    </dataValidation>
    <dataValidation sqref="M3" showDropDown="0" showInputMessage="0" showErrorMessage="0" allowBlank="1" errorTitle="Invalid winner pick" error="Pick must be one of the two teams in that series." type="list">
      <formula1>=Bracket!$C$2:$D$2</formula1>
    </dataValidation>
    <dataValidation sqref="N3" showDropDown="0" showInputMessage="0" showErrorMessage="0" allowBlank="1" errorTitle="Invalid games pick" error="Enter 4, 5, 6, or 7." type="whole" operator="between">
      <formula1>4</formula1>
      <formula2>7</formula2>
    </dataValidation>
    <dataValidation sqref="M4" showDropDown="0" showInputMessage="0" showErrorMessage="0" allowBlank="1" errorTitle="Invalid winner pick" error="Pick must be one of the two teams in that series." type="list">
      <formula1>=Bracket!$C$3:$D$3</formula1>
    </dataValidation>
    <dataValidation sqref="N4" showDropDown="0" showInputMessage="0" showErrorMessage="0" allowBlank="1" errorTitle="Invalid games pick" error="Enter 4, 5, 6, or 7." type="whole" operator="between">
      <formula1>4</formula1>
      <formula2>7</formula2>
    </dataValidation>
    <dataValidation sqref="M5" showDropDown="0" showInputMessage="0" showErrorMessage="0" allowBlank="1" errorTitle="Invalid winner pick" error="Pick must be one of the two teams in that series." type="list">
      <formula1>=Bracket!$C$4:$D$4</formula1>
    </dataValidation>
    <dataValidation sqref="N5" showDropDown="0" showInputMessage="0" showErrorMessage="0" allowBlank="1" errorTitle="Invalid games pick" error="Enter 4, 5, 6, or 7." type="whole" operator="between">
      <formula1>4</formula1>
      <formula2>7</formula2>
    </dataValidation>
    <dataValidation sqref="M6" showDropDown="0" showInputMessage="0" showErrorMessage="0" allowBlank="1" errorTitle="Invalid winner pick" error="Pick must be one of the two teams in that series." type="list">
      <formula1>=Bracket!$C$5:$D$5</formula1>
    </dataValidation>
    <dataValidation sqref="N6" showDropDown="0" showInputMessage="0" showErrorMessage="0" allowBlank="1" errorTitle="Invalid games pick" error="Enter 4, 5, 6, or 7." type="whole" operator="between">
      <formula1>4</formula1>
      <formula2>7</formula2>
    </dataValidation>
    <dataValidation sqref="M7" showDropDown="0" showInputMessage="0" showErrorMessage="0" allowBlank="1" errorTitle="Invalid winner pick" error="Pick must be one of the two teams in that series." type="list">
      <formula1>=Bracket!$C$6:$D$6</formula1>
    </dataValidation>
    <dataValidation sqref="N7" showDropDown="0" showInputMessage="0" showErrorMessage="0" allowBlank="1" errorTitle="Invalid games pick" error="Enter 4, 5, 6, or 7." type="whole" operator="between">
      <formula1>4</formula1>
      <formula2>7</formula2>
    </dataValidation>
    <dataValidation sqref="M8" showDropDown="0" showInputMessage="0" showErrorMessage="0" allowBlank="1" errorTitle="Invalid winner pick" error="Pick must be one of the two teams in that series." type="list">
      <formula1>=Bracket!$C$7:$D$7</formula1>
    </dataValidation>
    <dataValidation sqref="N8" showDropDown="0" showInputMessage="0" showErrorMessage="0" allowBlank="1" errorTitle="Invalid games pick" error="Enter 4, 5, 6, or 7." type="whole" operator="between">
      <formula1>4</formula1>
      <formula2>7</formula2>
    </dataValidation>
    <dataValidation sqref="M9" showDropDown="0" showInputMessage="0" showErrorMessage="0" allowBlank="1" errorTitle="Invalid winner pick" error="Pick must be one of the two teams in that series." type="list">
      <formula1>=Bracket!$C$8:$D$8</formula1>
    </dataValidation>
    <dataValidation sqref="N9" showDropDown="0" showInputMessage="0" showErrorMessage="0" allowBlank="1" errorTitle="Invalid games pick" error="Enter 4, 5, 6, or 7." type="whole" operator="between">
      <formula1>4</formula1>
      <formula2>7</formula2>
    </dataValidation>
    <dataValidation sqref="M10" showDropDown="0" showInputMessage="0" showErrorMessage="0" allowBlank="1" errorTitle="Invalid winner pick" error="Pick must be one of the two teams in that series." type="list">
      <formula1>=Bracket!$C$9:$D$9</formula1>
    </dataValidation>
    <dataValidation sqref="N10" showDropDown="0" showInputMessage="0" showErrorMessage="0" allowBlank="1" errorTitle="Invalid games pick" error="Enter 4, 5, 6, or 7." type="whole" operator="between">
      <formula1>4</formula1>
      <formula2>7</formula2>
    </dataValidation>
    <dataValidation sqref="M11" showDropDown="0" showInputMessage="0" showErrorMessage="0" allowBlank="1" errorTitle="Invalid winner pick" error="Pick must be one of the two teams in that series." type="list">
      <formula1>=Bracket!$C$10:$D$10</formula1>
    </dataValidation>
    <dataValidation sqref="N11" showDropDown="0" showInputMessage="0" showErrorMessage="0" allowBlank="1" errorTitle="Invalid games pick" error="Enter 4, 5, 6, or 7." type="whole" operator="between">
      <formula1>4</formula1>
      <formula2>7</formula2>
    </dataValidation>
    <dataValidation sqref="M12" showDropDown="0" showInputMessage="0" showErrorMessage="0" allowBlank="1" errorTitle="Invalid winner pick" error="Pick must be one of the two teams in that series." type="list">
      <formula1>=Bracket!$C$11:$D$11</formula1>
    </dataValidation>
    <dataValidation sqref="N12" showDropDown="0" showInputMessage="0" showErrorMessage="0" allowBlank="1" errorTitle="Invalid games pick" error="Enter 4, 5, 6, or 7." type="whole" operator="between">
      <formula1>4</formula1>
      <formula2>7</formula2>
    </dataValidation>
    <dataValidation sqref="M13" showDropDown="0" showInputMessage="0" showErrorMessage="0" allowBlank="1" errorTitle="Invalid winner pick" error="Pick must be one of the two teams in that series." type="list">
      <formula1>=Bracket!$C$12:$D$12</formula1>
    </dataValidation>
    <dataValidation sqref="N13" showDropDown="0" showInputMessage="0" showErrorMessage="0" allowBlank="1" errorTitle="Invalid games pick" error="Enter 4, 5, 6, or 7." type="whole" operator="between">
      <formula1>4</formula1>
      <formula2>7</formula2>
    </dataValidation>
    <dataValidation sqref="M14" showDropDown="0" showInputMessage="0" showErrorMessage="0" allowBlank="1" errorTitle="Invalid winner pick" error="Pick must be one of the two teams in that series." type="list">
      <formula1>=Bracket!$C$13:$D$13</formula1>
    </dataValidation>
    <dataValidation sqref="N14" showDropDown="0" showInputMessage="0" showErrorMessage="0" allowBlank="1" errorTitle="Invalid games pick" error="Enter 4, 5, 6, or 7." type="whole" operator="between">
      <formula1>4</formula1>
      <formula2>7</formula2>
    </dataValidation>
    <dataValidation sqref="M15" showDropDown="0" showInputMessage="0" showErrorMessage="0" allowBlank="1" errorTitle="Invalid winner pick" error="Pick must be one of the two teams in that series." type="list">
      <formula1>=Bracket!$C$14:$D$14</formula1>
    </dataValidation>
    <dataValidation sqref="N15" showDropDown="0" showInputMessage="0" showErrorMessage="0" allowBlank="1" errorTitle="Invalid games pick" error="Enter 4, 5, 6, or 7." type="whole" operator="between">
      <formula1>4</formula1>
      <formula2>7</formula2>
    </dataValidation>
    <dataValidation sqref="M16" showDropDown="0" showInputMessage="0" showErrorMessage="0" allowBlank="1" errorTitle="Invalid winner pick" error="Pick must be one of the two teams in that series." type="list">
      <formula1>=Bracket!$C$15:$D$15</formula1>
    </dataValidation>
    <dataValidation sqref="N16" showDropDown="0" showInputMessage="0" showErrorMessage="0" allowBlank="1" errorTitle="Invalid games pick" error="Enter 4, 5, 6, or 7." type="whole" operator="between">
      <formula1>4</formula1>
      <formula2>7</formula2>
    </dataValidation>
    <dataValidation sqref="M17" showDropDown="0" showInputMessage="0" showErrorMessage="0" allowBlank="1" errorTitle="Invalid winner pick" error="Pick must be one of the two teams in that series." type="list">
      <formula1>=Bracket!$C$16:$D$16</formula1>
    </dataValidation>
    <dataValidation sqref="N17" showDropDown="0" showInputMessage="0" showErrorMessage="0" allowBlank="1" errorTitle="Invalid games pick" error="Enter 4, 5, 6, or 7." type="whole" operator="between">
      <formula1>4</formula1>
      <formula2>7</formula2>
    </dataValidation>
    <dataValidation sqref="M18" showDropDown="0" showInputMessage="0" showErrorMessage="0" allowBlank="1" errorTitle="Invalid guess" error="Enter a non-negative integer." type="whole" operator="between">
      <formula1>0</formula1>
      <formula2>200</formula2>
    </dataValidation>
    <dataValidation sqref="O3" showDropDown="0" showInputMessage="0" showErrorMessage="0" allowBlank="1" errorTitle="Invalid winner pick" error="Pick must be one of the two teams in that series." type="list">
      <formula1>=Bracket!$C$2:$D$2</formula1>
    </dataValidation>
    <dataValidation sqref="P3" showDropDown="0" showInputMessage="0" showErrorMessage="0" allowBlank="1" errorTitle="Invalid games pick" error="Enter 4, 5, 6, or 7." type="whole" operator="between">
      <formula1>4</formula1>
      <formula2>7</formula2>
    </dataValidation>
    <dataValidation sqref="O4" showDropDown="0" showInputMessage="0" showErrorMessage="0" allowBlank="1" errorTitle="Invalid winner pick" error="Pick must be one of the two teams in that series." type="list">
      <formula1>=Bracket!$C$3:$D$3</formula1>
    </dataValidation>
    <dataValidation sqref="P4" showDropDown="0" showInputMessage="0" showErrorMessage="0" allowBlank="1" errorTitle="Invalid games pick" error="Enter 4, 5, 6, or 7." type="whole" operator="between">
      <formula1>4</formula1>
      <formula2>7</formula2>
    </dataValidation>
    <dataValidation sqref="O5" showDropDown="0" showInputMessage="0" showErrorMessage="0" allowBlank="1" errorTitle="Invalid winner pick" error="Pick must be one of the two teams in that series." type="list">
      <formula1>=Bracket!$C$4:$D$4</formula1>
    </dataValidation>
    <dataValidation sqref="P5" showDropDown="0" showInputMessage="0" showErrorMessage="0" allowBlank="1" errorTitle="Invalid games pick" error="Enter 4, 5, 6, or 7." type="whole" operator="between">
      <formula1>4</formula1>
      <formula2>7</formula2>
    </dataValidation>
    <dataValidation sqref="O6" showDropDown="0" showInputMessage="0" showErrorMessage="0" allowBlank="1" errorTitle="Invalid winner pick" error="Pick must be one of the two teams in that series." type="list">
      <formula1>=Bracket!$C$5:$D$5</formula1>
    </dataValidation>
    <dataValidation sqref="P6" showDropDown="0" showInputMessage="0" showErrorMessage="0" allowBlank="1" errorTitle="Invalid games pick" error="Enter 4, 5, 6, or 7." type="whole" operator="between">
      <formula1>4</formula1>
      <formula2>7</formula2>
    </dataValidation>
    <dataValidation sqref="O7" showDropDown="0" showInputMessage="0" showErrorMessage="0" allowBlank="1" errorTitle="Invalid winner pick" error="Pick must be one of the two teams in that series." type="list">
      <formula1>=Bracket!$C$6:$D$6</formula1>
    </dataValidation>
    <dataValidation sqref="P7" showDropDown="0" showInputMessage="0" showErrorMessage="0" allowBlank="1" errorTitle="Invalid games pick" error="Enter 4, 5, 6, or 7." type="whole" operator="between">
      <formula1>4</formula1>
      <formula2>7</formula2>
    </dataValidation>
    <dataValidation sqref="O8" showDropDown="0" showInputMessage="0" showErrorMessage="0" allowBlank="1" errorTitle="Invalid winner pick" error="Pick must be one of the two teams in that series." type="list">
      <formula1>=Bracket!$C$7:$D$7</formula1>
    </dataValidation>
    <dataValidation sqref="P8" showDropDown="0" showInputMessage="0" showErrorMessage="0" allowBlank="1" errorTitle="Invalid games pick" error="Enter 4, 5, 6, or 7." type="whole" operator="between">
      <formula1>4</formula1>
      <formula2>7</formula2>
    </dataValidation>
    <dataValidation sqref="O9" showDropDown="0" showInputMessage="0" showErrorMessage="0" allowBlank="1" errorTitle="Invalid winner pick" error="Pick must be one of the two teams in that series." type="list">
      <formula1>=Bracket!$C$8:$D$8</formula1>
    </dataValidation>
    <dataValidation sqref="P9" showDropDown="0" showInputMessage="0" showErrorMessage="0" allowBlank="1" errorTitle="Invalid games pick" error="Enter 4, 5, 6, or 7." type="whole" operator="between">
      <formula1>4</formula1>
      <formula2>7</formula2>
    </dataValidation>
    <dataValidation sqref="O10" showDropDown="0" showInputMessage="0" showErrorMessage="0" allowBlank="1" errorTitle="Invalid winner pick" error="Pick must be one of the two teams in that series." type="list">
      <formula1>=Bracket!$C$9:$D$9</formula1>
    </dataValidation>
    <dataValidation sqref="P10" showDropDown="0" showInputMessage="0" showErrorMessage="0" allowBlank="1" errorTitle="Invalid games pick" error="Enter 4, 5, 6, or 7." type="whole" operator="between">
      <formula1>4</formula1>
      <formula2>7</formula2>
    </dataValidation>
    <dataValidation sqref="O11" showDropDown="0" showInputMessage="0" showErrorMessage="0" allowBlank="1" errorTitle="Invalid winner pick" error="Pick must be one of the two teams in that series." type="list">
      <formula1>=Bracket!$C$10:$D$10</formula1>
    </dataValidation>
    <dataValidation sqref="P11" showDropDown="0" showInputMessage="0" showErrorMessage="0" allowBlank="1" errorTitle="Invalid games pick" error="Enter 4, 5, 6, or 7." type="whole" operator="between">
      <formula1>4</formula1>
      <formula2>7</formula2>
    </dataValidation>
    <dataValidation sqref="O12" showDropDown="0" showInputMessage="0" showErrorMessage="0" allowBlank="1" errorTitle="Invalid winner pick" error="Pick must be one of the two teams in that series." type="list">
      <formula1>=Bracket!$C$11:$D$11</formula1>
    </dataValidation>
    <dataValidation sqref="P12" showDropDown="0" showInputMessage="0" showErrorMessage="0" allowBlank="1" errorTitle="Invalid games pick" error="Enter 4, 5, 6, or 7." type="whole" operator="between">
      <formula1>4</formula1>
      <formula2>7</formula2>
    </dataValidation>
    <dataValidation sqref="O13" showDropDown="0" showInputMessage="0" showErrorMessage="0" allowBlank="1" errorTitle="Invalid winner pick" error="Pick must be one of the two teams in that series." type="list">
      <formula1>=Bracket!$C$12:$D$12</formula1>
    </dataValidation>
    <dataValidation sqref="P13" showDropDown="0" showInputMessage="0" showErrorMessage="0" allowBlank="1" errorTitle="Invalid games pick" error="Enter 4, 5, 6, or 7." type="whole" operator="between">
      <formula1>4</formula1>
      <formula2>7</formula2>
    </dataValidation>
    <dataValidation sqref="O14" showDropDown="0" showInputMessage="0" showErrorMessage="0" allowBlank="1" errorTitle="Invalid winner pick" error="Pick must be one of the two teams in that series." type="list">
      <formula1>=Bracket!$C$13:$D$13</formula1>
    </dataValidation>
    <dataValidation sqref="P14" showDropDown="0" showInputMessage="0" showErrorMessage="0" allowBlank="1" errorTitle="Invalid games pick" error="Enter 4, 5, 6, or 7." type="whole" operator="between">
      <formula1>4</formula1>
      <formula2>7</formula2>
    </dataValidation>
    <dataValidation sqref="O15" showDropDown="0" showInputMessage="0" showErrorMessage="0" allowBlank="1" errorTitle="Invalid winner pick" error="Pick must be one of the two teams in that series." type="list">
      <formula1>=Bracket!$C$14:$D$14</formula1>
    </dataValidation>
    <dataValidation sqref="P15" showDropDown="0" showInputMessage="0" showErrorMessage="0" allowBlank="1" errorTitle="Invalid games pick" error="Enter 4, 5, 6, or 7." type="whole" operator="between">
      <formula1>4</formula1>
      <formula2>7</formula2>
    </dataValidation>
    <dataValidation sqref="O16" showDropDown="0" showInputMessage="0" showErrorMessage="0" allowBlank="1" errorTitle="Invalid winner pick" error="Pick must be one of the two teams in that series." type="list">
      <formula1>=Bracket!$C$15:$D$15</formula1>
    </dataValidation>
    <dataValidation sqref="P16" showDropDown="0" showInputMessage="0" showErrorMessage="0" allowBlank="1" errorTitle="Invalid games pick" error="Enter 4, 5, 6, or 7." type="whole" operator="between">
      <formula1>4</formula1>
      <formula2>7</formula2>
    </dataValidation>
    <dataValidation sqref="O17" showDropDown="0" showInputMessage="0" showErrorMessage="0" allowBlank="1" errorTitle="Invalid winner pick" error="Pick must be one of the two teams in that series." type="list">
      <formula1>=Bracket!$C$16:$D$16</formula1>
    </dataValidation>
    <dataValidation sqref="P17" showDropDown="0" showInputMessage="0" showErrorMessage="0" allowBlank="1" errorTitle="Invalid games pick" error="Enter 4, 5, 6, or 7." type="whole" operator="between">
      <formula1>4</formula1>
      <formula2>7</formula2>
    </dataValidation>
    <dataValidation sqref="O18" showDropDown="0" showInputMessage="0" showErrorMessage="0" allowBlank="1" errorTitle="Invalid guess" error="Enter a non-negative integer." type="whole" operator="between">
      <formula1>0</formula1>
      <formula2>200</formula2>
    </dataValidation>
    <dataValidation sqref="Q3" showDropDown="0" showInputMessage="0" showErrorMessage="0" allowBlank="1" errorTitle="Invalid winner pick" error="Pick must be one of the two teams in that series." type="list">
      <formula1>=Bracket!$C$2:$D$2</formula1>
    </dataValidation>
    <dataValidation sqref="R3" showDropDown="0" showInputMessage="0" showErrorMessage="0" allowBlank="1" errorTitle="Invalid games pick" error="Enter 4, 5, 6, or 7." type="whole" operator="between">
      <formula1>4</formula1>
      <formula2>7</formula2>
    </dataValidation>
    <dataValidation sqref="Q4" showDropDown="0" showInputMessage="0" showErrorMessage="0" allowBlank="1" errorTitle="Invalid winner pick" error="Pick must be one of the two teams in that series." type="list">
      <formula1>=Bracket!$C$3:$D$3</formula1>
    </dataValidation>
    <dataValidation sqref="R4" showDropDown="0" showInputMessage="0" showErrorMessage="0" allowBlank="1" errorTitle="Invalid games pick" error="Enter 4, 5, 6, or 7." type="whole" operator="between">
      <formula1>4</formula1>
      <formula2>7</formula2>
    </dataValidation>
    <dataValidation sqref="Q5" showDropDown="0" showInputMessage="0" showErrorMessage="0" allowBlank="1" errorTitle="Invalid winner pick" error="Pick must be one of the two teams in that series." type="list">
      <formula1>=Bracket!$C$4:$D$4</formula1>
    </dataValidation>
    <dataValidation sqref="R5" showDropDown="0" showInputMessage="0" showErrorMessage="0" allowBlank="1" errorTitle="Invalid games pick" error="Enter 4, 5, 6, or 7." type="whole" operator="between">
      <formula1>4</formula1>
      <formula2>7</formula2>
    </dataValidation>
    <dataValidation sqref="Q6" showDropDown="0" showInputMessage="0" showErrorMessage="0" allowBlank="1" errorTitle="Invalid winner pick" error="Pick must be one of the two teams in that series." type="list">
      <formula1>=Bracket!$C$5:$D$5</formula1>
    </dataValidation>
    <dataValidation sqref="R6" showDropDown="0" showInputMessage="0" showErrorMessage="0" allowBlank="1" errorTitle="Invalid games pick" error="Enter 4, 5, 6, or 7." type="whole" operator="between">
      <formula1>4</formula1>
      <formula2>7</formula2>
    </dataValidation>
    <dataValidation sqref="Q7" showDropDown="0" showInputMessage="0" showErrorMessage="0" allowBlank="1" errorTitle="Invalid winner pick" error="Pick must be one of the two teams in that series." type="list">
      <formula1>=Bracket!$C$6:$D$6</formula1>
    </dataValidation>
    <dataValidation sqref="R7" showDropDown="0" showInputMessage="0" showErrorMessage="0" allowBlank="1" errorTitle="Invalid games pick" error="Enter 4, 5, 6, or 7." type="whole" operator="between">
      <formula1>4</formula1>
      <formula2>7</formula2>
    </dataValidation>
    <dataValidation sqref="Q8" showDropDown="0" showInputMessage="0" showErrorMessage="0" allowBlank="1" errorTitle="Invalid winner pick" error="Pick must be one of the two teams in that series." type="list">
      <formula1>=Bracket!$C$7:$D$7</formula1>
    </dataValidation>
    <dataValidation sqref="R8" showDropDown="0" showInputMessage="0" showErrorMessage="0" allowBlank="1" errorTitle="Invalid games pick" error="Enter 4, 5, 6, or 7." type="whole" operator="between">
      <formula1>4</formula1>
      <formula2>7</formula2>
    </dataValidation>
    <dataValidation sqref="Q9" showDropDown="0" showInputMessage="0" showErrorMessage="0" allowBlank="1" errorTitle="Invalid winner pick" error="Pick must be one of the two teams in that series." type="list">
      <formula1>=Bracket!$C$8:$D$8</formula1>
    </dataValidation>
    <dataValidation sqref="R9" showDropDown="0" showInputMessage="0" showErrorMessage="0" allowBlank="1" errorTitle="Invalid games pick" error="Enter 4, 5, 6, or 7." type="whole" operator="between">
      <formula1>4</formula1>
      <formula2>7</formula2>
    </dataValidation>
    <dataValidation sqref="Q10" showDropDown="0" showInputMessage="0" showErrorMessage="0" allowBlank="1" errorTitle="Invalid winner pick" error="Pick must be one of the two teams in that series." type="list">
      <formula1>=Bracket!$C$9:$D$9</formula1>
    </dataValidation>
    <dataValidation sqref="R10" showDropDown="0" showInputMessage="0" showErrorMessage="0" allowBlank="1" errorTitle="Invalid games pick" error="Enter 4, 5, 6, or 7." type="whole" operator="between">
      <formula1>4</formula1>
      <formula2>7</formula2>
    </dataValidation>
    <dataValidation sqref="Q11" showDropDown="0" showInputMessage="0" showErrorMessage="0" allowBlank="1" errorTitle="Invalid winner pick" error="Pick must be one of the two teams in that series." type="list">
      <formula1>=Bracket!$C$10:$D$10</formula1>
    </dataValidation>
    <dataValidation sqref="R11" showDropDown="0" showInputMessage="0" showErrorMessage="0" allowBlank="1" errorTitle="Invalid games pick" error="Enter 4, 5, 6, or 7." type="whole" operator="between">
      <formula1>4</formula1>
      <formula2>7</formula2>
    </dataValidation>
    <dataValidation sqref="Q12" showDropDown="0" showInputMessage="0" showErrorMessage="0" allowBlank="1" errorTitle="Invalid winner pick" error="Pick must be one of the two teams in that series." type="list">
      <formula1>=Bracket!$C$11:$D$11</formula1>
    </dataValidation>
    <dataValidation sqref="R12" showDropDown="0" showInputMessage="0" showErrorMessage="0" allowBlank="1" errorTitle="Invalid games pick" error="Enter 4, 5, 6, or 7." type="whole" operator="between">
      <formula1>4</formula1>
      <formula2>7</formula2>
    </dataValidation>
    <dataValidation sqref="Q13" showDropDown="0" showInputMessage="0" showErrorMessage="0" allowBlank="1" errorTitle="Invalid winner pick" error="Pick must be one of the two teams in that series." type="list">
      <formula1>=Bracket!$C$12:$D$12</formula1>
    </dataValidation>
    <dataValidation sqref="R13" showDropDown="0" showInputMessage="0" showErrorMessage="0" allowBlank="1" errorTitle="Invalid games pick" error="Enter 4, 5, 6, or 7." type="whole" operator="between">
      <formula1>4</formula1>
      <formula2>7</formula2>
    </dataValidation>
    <dataValidation sqref="Q14" showDropDown="0" showInputMessage="0" showErrorMessage="0" allowBlank="1" errorTitle="Invalid winner pick" error="Pick must be one of the two teams in that series." type="list">
      <formula1>=Bracket!$C$13:$D$13</formula1>
    </dataValidation>
    <dataValidation sqref="R14" showDropDown="0" showInputMessage="0" showErrorMessage="0" allowBlank="1" errorTitle="Invalid games pick" error="Enter 4, 5, 6, or 7." type="whole" operator="between">
      <formula1>4</formula1>
      <formula2>7</formula2>
    </dataValidation>
    <dataValidation sqref="Q15" showDropDown="0" showInputMessage="0" showErrorMessage="0" allowBlank="1" errorTitle="Invalid winner pick" error="Pick must be one of the two teams in that series." type="list">
      <formula1>=Bracket!$C$14:$D$14</formula1>
    </dataValidation>
    <dataValidation sqref="R15" showDropDown="0" showInputMessage="0" showErrorMessage="0" allowBlank="1" errorTitle="Invalid games pick" error="Enter 4, 5, 6, or 7." type="whole" operator="between">
      <formula1>4</formula1>
      <formula2>7</formula2>
    </dataValidation>
    <dataValidation sqref="Q16" showDropDown="0" showInputMessage="0" showErrorMessage="0" allowBlank="1" errorTitle="Invalid winner pick" error="Pick must be one of the two teams in that series." type="list">
      <formula1>=Bracket!$C$15:$D$15</formula1>
    </dataValidation>
    <dataValidation sqref="R16" showDropDown="0" showInputMessage="0" showErrorMessage="0" allowBlank="1" errorTitle="Invalid games pick" error="Enter 4, 5, 6, or 7." type="whole" operator="between">
      <formula1>4</formula1>
      <formula2>7</formula2>
    </dataValidation>
    <dataValidation sqref="Q17" showDropDown="0" showInputMessage="0" showErrorMessage="0" allowBlank="1" errorTitle="Invalid winner pick" error="Pick must be one of the two teams in that series." type="list">
      <formula1>=Bracket!$C$16:$D$16</formula1>
    </dataValidation>
    <dataValidation sqref="R17" showDropDown="0" showInputMessage="0" showErrorMessage="0" allowBlank="1" errorTitle="Invalid games pick" error="Enter 4, 5, 6, or 7." type="whole" operator="between">
      <formula1>4</formula1>
      <formula2>7</formula2>
    </dataValidation>
    <dataValidation sqref="Q18" showDropDown="0" showInputMessage="0" showErrorMessage="0" allowBlank="1" errorTitle="Invalid guess" error="Enter a non-negative integer." type="whole" operator="between">
      <formula1>0</formula1>
      <formula2>200</formula2>
    </dataValidation>
    <dataValidation sqref="S3" showDropDown="0" showInputMessage="0" showErrorMessage="0" allowBlank="1" errorTitle="Invalid winner pick" error="Pick must be one of the two teams in that series." type="list">
      <formula1>=Bracket!$C$2:$D$2</formula1>
    </dataValidation>
    <dataValidation sqref="T3" showDropDown="0" showInputMessage="0" showErrorMessage="0" allowBlank="1" errorTitle="Invalid games pick" error="Enter 4, 5, 6, or 7." type="whole" operator="between">
      <formula1>4</formula1>
      <formula2>7</formula2>
    </dataValidation>
    <dataValidation sqref="S4" showDropDown="0" showInputMessage="0" showErrorMessage="0" allowBlank="1" errorTitle="Invalid winner pick" error="Pick must be one of the two teams in that series." type="list">
      <formula1>=Bracket!$C$3:$D$3</formula1>
    </dataValidation>
    <dataValidation sqref="T4" showDropDown="0" showInputMessage="0" showErrorMessage="0" allowBlank="1" errorTitle="Invalid games pick" error="Enter 4, 5, 6, or 7." type="whole" operator="between">
      <formula1>4</formula1>
      <formula2>7</formula2>
    </dataValidation>
    <dataValidation sqref="S5" showDropDown="0" showInputMessage="0" showErrorMessage="0" allowBlank="1" errorTitle="Invalid winner pick" error="Pick must be one of the two teams in that series." type="list">
      <formula1>=Bracket!$C$4:$D$4</formula1>
    </dataValidation>
    <dataValidation sqref="T5" showDropDown="0" showInputMessage="0" showErrorMessage="0" allowBlank="1" errorTitle="Invalid games pick" error="Enter 4, 5, 6, or 7." type="whole" operator="between">
      <formula1>4</formula1>
      <formula2>7</formula2>
    </dataValidation>
    <dataValidation sqref="S6" showDropDown="0" showInputMessage="0" showErrorMessage="0" allowBlank="1" errorTitle="Invalid winner pick" error="Pick must be one of the two teams in that series." type="list">
      <formula1>=Bracket!$C$5:$D$5</formula1>
    </dataValidation>
    <dataValidation sqref="T6" showDropDown="0" showInputMessage="0" showErrorMessage="0" allowBlank="1" errorTitle="Invalid games pick" error="Enter 4, 5, 6, or 7." type="whole" operator="between">
      <formula1>4</formula1>
      <formula2>7</formula2>
    </dataValidation>
    <dataValidation sqref="S7" showDropDown="0" showInputMessage="0" showErrorMessage="0" allowBlank="1" errorTitle="Invalid winner pick" error="Pick must be one of the two teams in that series." type="list">
      <formula1>=Bracket!$C$6:$D$6</formula1>
    </dataValidation>
    <dataValidation sqref="T7" showDropDown="0" showInputMessage="0" showErrorMessage="0" allowBlank="1" errorTitle="Invalid games pick" error="Enter 4, 5, 6, or 7." type="whole" operator="between">
      <formula1>4</formula1>
      <formula2>7</formula2>
    </dataValidation>
    <dataValidation sqref="S8" showDropDown="0" showInputMessage="0" showErrorMessage="0" allowBlank="1" errorTitle="Invalid winner pick" error="Pick must be one of the two teams in that series." type="list">
      <formula1>=Bracket!$C$7:$D$7</formula1>
    </dataValidation>
    <dataValidation sqref="T8" showDropDown="0" showInputMessage="0" showErrorMessage="0" allowBlank="1" errorTitle="Invalid games pick" error="Enter 4, 5, 6, or 7." type="whole" operator="between">
      <formula1>4</formula1>
      <formula2>7</formula2>
    </dataValidation>
    <dataValidation sqref="S9" showDropDown="0" showInputMessage="0" showErrorMessage="0" allowBlank="1" errorTitle="Invalid winner pick" error="Pick must be one of the two teams in that series." type="list">
      <formula1>=Bracket!$C$8:$D$8</formula1>
    </dataValidation>
    <dataValidation sqref="T9" showDropDown="0" showInputMessage="0" showErrorMessage="0" allowBlank="1" errorTitle="Invalid games pick" error="Enter 4, 5, 6, or 7." type="whole" operator="between">
      <formula1>4</formula1>
      <formula2>7</formula2>
    </dataValidation>
    <dataValidation sqref="S10" showDropDown="0" showInputMessage="0" showErrorMessage="0" allowBlank="1" errorTitle="Invalid winner pick" error="Pick must be one of the two teams in that series." type="list">
      <formula1>=Bracket!$C$9:$D$9</formula1>
    </dataValidation>
    <dataValidation sqref="T10" showDropDown="0" showInputMessage="0" showErrorMessage="0" allowBlank="1" errorTitle="Invalid games pick" error="Enter 4, 5, 6, or 7." type="whole" operator="between">
      <formula1>4</formula1>
      <formula2>7</formula2>
    </dataValidation>
    <dataValidation sqref="S11" showDropDown="0" showInputMessage="0" showErrorMessage="0" allowBlank="1" errorTitle="Invalid winner pick" error="Pick must be one of the two teams in that series." type="list">
      <formula1>=Bracket!$C$10:$D$10</formula1>
    </dataValidation>
    <dataValidation sqref="T11" showDropDown="0" showInputMessage="0" showErrorMessage="0" allowBlank="1" errorTitle="Invalid games pick" error="Enter 4, 5, 6, or 7." type="whole" operator="between">
      <formula1>4</formula1>
      <formula2>7</formula2>
    </dataValidation>
    <dataValidation sqref="S12" showDropDown="0" showInputMessage="0" showErrorMessage="0" allowBlank="1" errorTitle="Invalid winner pick" error="Pick must be one of the two teams in that series." type="list">
      <formula1>=Bracket!$C$11:$D$11</formula1>
    </dataValidation>
    <dataValidation sqref="T12" showDropDown="0" showInputMessage="0" showErrorMessage="0" allowBlank="1" errorTitle="Invalid games pick" error="Enter 4, 5, 6, or 7." type="whole" operator="between">
      <formula1>4</formula1>
      <formula2>7</formula2>
    </dataValidation>
    <dataValidation sqref="S13" showDropDown="0" showInputMessage="0" showErrorMessage="0" allowBlank="1" errorTitle="Invalid winner pick" error="Pick must be one of the two teams in that series." type="list">
      <formula1>=Bracket!$C$12:$D$12</formula1>
    </dataValidation>
    <dataValidation sqref="T13" showDropDown="0" showInputMessage="0" showErrorMessage="0" allowBlank="1" errorTitle="Invalid games pick" error="Enter 4, 5, 6, or 7." type="whole" operator="between">
      <formula1>4</formula1>
      <formula2>7</formula2>
    </dataValidation>
    <dataValidation sqref="S14" showDropDown="0" showInputMessage="0" showErrorMessage="0" allowBlank="1" errorTitle="Invalid winner pick" error="Pick must be one of the two teams in that series." type="list">
      <formula1>=Bracket!$C$13:$D$13</formula1>
    </dataValidation>
    <dataValidation sqref="T14" showDropDown="0" showInputMessage="0" showErrorMessage="0" allowBlank="1" errorTitle="Invalid games pick" error="Enter 4, 5, 6, or 7." type="whole" operator="between">
      <formula1>4</formula1>
      <formula2>7</formula2>
    </dataValidation>
    <dataValidation sqref="S15" showDropDown="0" showInputMessage="0" showErrorMessage="0" allowBlank="1" errorTitle="Invalid winner pick" error="Pick must be one of the two teams in that series." type="list">
      <formula1>=Bracket!$C$14:$D$14</formula1>
    </dataValidation>
    <dataValidation sqref="T15" showDropDown="0" showInputMessage="0" showErrorMessage="0" allowBlank="1" errorTitle="Invalid games pick" error="Enter 4, 5, 6, or 7." type="whole" operator="between">
      <formula1>4</formula1>
      <formula2>7</formula2>
    </dataValidation>
    <dataValidation sqref="S16" showDropDown="0" showInputMessage="0" showErrorMessage="0" allowBlank="1" errorTitle="Invalid winner pick" error="Pick must be one of the two teams in that series." type="list">
      <formula1>=Bracket!$C$15:$D$15</formula1>
    </dataValidation>
    <dataValidation sqref="T16" showDropDown="0" showInputMessage="0" showErrorMessage="0" allowBlank="1" errorTitle="Invalid games pick" error="Enter 4, 5, 6, or 7." type="whole" operator="between">
      <formula1>4</formula1>
      <formula2>7</formula2>
    </dataValidation>
    <dataValidation sqref="S17" showDropDown="0" showInputMessage="0" showErrorMessage="0" allowBlank="1" errorTitle="Invalid winner pick" error="Pick must be one of the two teams in that series." type="list">
      <formula1>=Bracket!$C$16:$D$16</formula1>
    </dataValidation>
    <dataValidation sqref="T17" showDropDown="0" showInputMessage="0" showErrorMessage="0" allowBlank="1" errorTitle="Invalid games pick" error="Enter 4, 5, 6, or 7." type="whole" operator="between">
      <formula1>4</formula1>
      <formula2>7</formula2>
    </dataValidation>
    <dataValidation sqref="S18" showDropDown="0" showInputMessage="0" showErrorMessage="0" allowBlank="1" errorTitle="Invalid guess" error="Enter a non-negative integer." type="whole" operator="between">
      <formula1>0</formula1>
      <formula2>200</formula2>
    </dataValidation>
    <dataValidation sqref="U3" showDropDown="0" showInputMessage="0" showErrorMessage="0" allowBlank="1" errorTitle="Invalid winner pick" error="Pick must be one of the two teams in that series." type="list">
      <formula1>=Bracket!$C$2:$D$2</formula1>
    </dataValidation>
    <dataValidation sqref="V3" showDropDown="0" showInputMessage="0" showErrorMessage="0" allowBlank="1" errorTitle="Invalid games pick" error="Enter 4, 5, 6, or 7." type="whole" operator="between">
      <formula1>4</formula1>
      <formula2>7</formula2>
    </dataValidation>
    <dataValidation sqref="U4" showDropDown="0" showInputMessage="0" showErrorMessage="0" allowBlank="1" errorTitle="Invalid winner pick" error="Pick must be one of the two teams in that series." type="list">
      <formula1>=Bracket!$C$3:$D$3</formula1>
    </dataValidation>
    <dataValidation sqref="V4" showDropDown="0" showInputMessage="0" showErrorMessage="0" allowBlank="1" errorTitle="Invalid games pick" error="Enter 4, 5, 6, or 7." type="whole" operator="between">
      <formula1>4</formula1>
      <formula2>7</formula2>
    </dataValidation>
    <dataValidation sqref="U5" showDropDown="0" showInputMessage="0" showErrorMessage="0" allowBlank="1" errorTitle="Invalid winner pick" error="Pick must be one of the two teams in that series." type="list">
      <formula1>=Bracket!$C$4:$D$4</formula1>
    </dataValidation>
    <dataValidation sqref="V5" showDropDown="0" showInputMessage="0" showErrorMessage="0" allowBlank="1" errorTitle="Invalid games pick" error="Enter 4, 5, 6, or 7." type="whole" operator="between">
      <formula1>4</formula1>
      <formula2>7</formula2>
    </dataValidation>
    <dataValidation sqref="U6" showDropDown="0" showInputMessage="0" showErrorMessage="0" allowBlank="1" errorTitle="Invalid winner pick" error="Pick must be one of the two teams in that series." type="list">
      <formula1>=Bracket!$C$5:$D$5</formula1>
    </dataValidation>
    <dataValidation sqref="V6" showDropDown="0" showInputMessage="0" showErrorMessage="0" allowBlank="1" errorTitle="Invalid games pick" error="Enter 4, 5, 6, or 7." type="whole" operator="between">
      <formula1>4</formula1>
      <formula2>7</formula2>
    </dataValidation>
    <dataValidation sqref="U7" showDropDown="0" showInputMessage="0" showErrorMessage="0" allowBlank="1" errorTitle="Invalid winner pick" error="Pick must be one of the two teams in that series." type="list">
      <formula1>=Bracket!$C$6:$D$6</formula1>
    </dataValidation>
    <dataValidation sqref="V7" showDropDown="0" showInputMessage="0" showErrorMessage="0" allowBlank="1" errorTitle="Invalid games pick" error="Enter 4, 5, 6, or 7." type="whole" operator="between">
      <formula1>4</formula1>
      <formula2>7</formula2>
    </dataValidation>
    <dataValidation sqref="U8" showDropDown="0" showInputMessage="0" showErrorMessage="0" allowBlank="1" errorTitle="Invalid winner pick" error="Pick must be one of the two teams in that series." type="list">
      <formula1>=Bracket!$C$7:$D$7</formula1>
    </dataValidation>
    <dataValidation sqref="V8" showDropDown="0" showInputMessage="0" showErrorMessage="0" allowBlank="1" errorTitle="Invalid games pick" error="Enter 4, 5, 6, or 7." type="whole" operator="between">
      <formula1>4</formula1>
      <formula2>7</formula2>
    </dataValidation>
    <dataValidation sqref="U9" showDropDown="0" showInputMessage="0" showErrorMessage="0" allowBlank="1" errorTitle="Invalid winner pick" error="Pick must be one of the two teams in that series." type="list">
      <formula1>=Bracket!$C$8:$D$8</formula1>
    </dataValidation>
    <dataValidation sqref="V9" showDropDown="0" showInputMessage="0" showErrorMessage="0" allowBlank="1" errorTitle="Invalid games pick" error="Enter 4, 5, 6, or 7." type="whole" operator="between">
      <formula1>4</formula1>
      <formula2>7</formula2>
    </dataValidation>
    <dataValidation sqref="U10" showDropDown="0" showInputMessage="0" showErrorMessage="0" allowBlank="1" errorTitle="Invalid winner pick" error="Pick must be one of the two teams in that series." type="list">
      <formula1>=Bracket!$C$9:$D$9</formula1>
    </dataValidation>
    <dataValidation sqref="V10" showDropDown="0" showInputMessage="0" showErrorMessage="0" allowBlank="1" errorTitle="Invalid games pick" error="Enter 4, 5, 6, or 7." type="whole" operator="between">
      <formula1>4</formula1>
      <formula2>7</formula2>
    </dataValidation>
    <dataValidation sqref="U11" showDropDown="0" showInputMessage="0" showErrorMessage="0" allowBlank="1" errorTitle="Invalid winner pick" error="Pick must be one of the two teams in that series." type="list">
      <formula1>=Bracket!$C$10:$D$10</formula1>
    </dataValidation>
    <dataValidation sqref="V11" showDropDown="0" showInputMessage="0" showErrorMessage="0" allowBlank="1" errorTitle="Invalid games pick" error="Enter 4, 5, 6, or 7." type="whole" operator="between">
      <formula1>4</formula1>
      <formula2>7</formula2>
    </dataValidation>
    <dataValidation sqref="U12" showDropDown="0" showInputMessage="0" showErrorMessage="0" allowBlank="1" errorTitle="Invalid winner pick" error="Pick must be one of the two teams in that series." type="list">
      <formula1>=Bracket!$C$11:$D$11</formula1>
    </dataValidation>
    <dataValidation sqref="V12" showDropDown="0" showInputMessage="0" showErrorMessage="0" allowBlank="1" errorTitle="Invalid games pick" error="Enter 4, 5, 6, or 7." type="whole" operator="between">
      <formula1>4</formula1>
      <formula2>7</formula2>
    </dataValidation>
    <dataValidation sqref="U13" showDropDown="0" showInputMessage="0" showErrorMessage="0" allowBlank="1" errorTitle="Invalid winner pick" error="Pick must be one of the two teams in that series." type="list">
      <formula1>=Bracket!$C$12:$D$12</formula1>
    </dataValidation>
    <dataValidation sqref="V13" showDropDown="0" showInputMessage="0" showErrorMessage="0" allowBlank="1" errorTitle="Invalid games pick" error="Enter 4, 5, 6, or 7." type="whole" operator="between">
      <formula1>4</formula1>
      <formula2>7</formula2>
    </dataValidation>
    <dataValidation sqref="U14" showDropDown="0" showInputMessage="0" showErrorMessage="0" allowBlank="1" errorTitle="Invalid winner pick" error="Pick must be one of the two teams in that series." type="list">
      <formula1>=Bracket!$C$13:$D$13</formula1>
    </dataValidation>
    <dataValidation sqref="V14" showDropDown="0" showInputMessage="0" showErrorMessage="0" allowBlank="1" errorTitle="Invalid games pick" error="Enter 4, 5, 6, or 7." type="whole" operator="between">
      <formula1>4</formula1>
      <formula2>7</formula2>
    </dataValidation>
    <dataValidation sqref="U15" showDropDown="0" showInputMessage="0" showErrorMessage="0" allowBlank="1" errorTitle="Invalid winner pick" error="Pick must be one of the two teams in that series." type="list">
      <formula1>=Bracket!$C$14:$D$14</formula1>
    </dataValidation>
    <dataValidation sqref="V15" showDropDown="0" showInputMessage="0" showErrorMessage="0" allowBlank="1" errorTitle="Invalid games pick" error="Enter 4, 5, 6, or 7." type="whole" operator="between">
      <formula1>4</formula1>
      <formula2>7</formula2>
    </dataValidation>
    <dataValidation sqref="U16" showDropDown="0" showInputMessage="0" showErrorMessage="0" allowBlank="1" errorTitle="Invalid winner pick" error="Pick must be one of the two teams in that series." type="list">
      <formula1>=Bracket!$C$15:$D$15</formula1>
    </dataValidation>
    <dataValidation sqref="V16" showDropDown="0" showInputMessage="0" showErrorMessage="0" allowBlank="1" errorTitle="Invalid games pick" error="Enter 4, 5, 6, or 7." type="whole" operator="between">
      <formula1>4</formula1>
      <formula2>7</formula2>
    </dataValidation>
    <dataValidation sqref="U17" showDropDown="0" showInputMessage="0" showErrorMessage="0" allowBlank="1" errorTitle="Invalid winner pick" error="Pick must be one of the two teams in that series." type="list">
      <formula1>=Bracket!$C$16:$D$16</formula1>
    </dataValidation>
    <dataValidation sqref="V17" showDropDown="0" showInputMessage="0" showErrorMessage="0" allowBlank="1" errorTitle="Invalid games pick" error="Enter 4, 5, 6, or 7." type="whole" operator="between">
      <formula1>4</formula1>
      <formula2>7</formula2>
    </dataValidation>
    <dataValidation sqref="U18" showDropDown="0" showInputMessage="0" showErrorMessage="0" allowBlank="1" errorTitle="Invalid guess" error="Enter a non-negative integer." type="whole" operator="between">
      <formula1>0</formula1>
      <formula2>200</formula2>
    </dataValidation>
    <dataValidation sqref="W3" showDropDown="0" showInputMessage="0" showErrorMessage="0" allowBlank="1" errorTitle="Invalid winner pick" error="Pick must be one of the two teams in that series." type="list">
      <formula1>=Bracket!$C$2:$D$2</formula1>
    </dataValidation>
    <dataValidation sqref="X3" showDropDown="0" showInputMessage="0" showErrorMessage="0" allowBlank="1" errorTitle="Invalid games pick" error="Enter 4, 5, 6, or 7." type="whole" operator="between">
      <formula1>4</formula1>
      <formula2>7</formula2>
    </dataValidation>
    <dataValidation sqref="W4" showDropDown="0" showInputMessage="0" showErrorMessage="0" allowBlank="1" errorTitle="Invalid winner pick" error="Pick must be one of the two teams in that series." type="list">
      <formula1>=Bracket!$C$3:$D$3</formula1>
    </dataValidation>
    <dataValidation sqref="X4" showDropDown="0" showInputMessage="0" showErrorMessage="0" allowBlank="1" errorTitle="Invalid games pick" error="Enter 4, 5, 6, or 7." type="whole" operator="between">
      <formula1>4</formula1>
      <formula2>7</formula2>
    </dataValidation>
    <dataValidation sqref="W5" showDropDown="0" showInputMessage="0" showErrorMessage="0" allowBlank="1" errorTitle="Invalid winner pick" error="Pick must be one of the two teams in that series." type="list">
      <formula1>=Bracket!$C$4:$D$4</formula1>
    </dataValidation>
    <dataValidation sqref="X5" showDropDown="0" showInputMessage="0" showErrorMessage="0" allowBlank="1" errorTitle="Invalid games pick" error="Enter 4, 5, 6, or 7." type="whole" operator="between">
      <formula1>4</formula1>
      <formula2>7</formula2>
    </dataValidation>
    <dataValidation sqref="W6" showDropDown="0" showInputMessage="0" showErrorMessage="0" allowBlank="1" errorTitle="Invalid winner pick" error="Pick must be one of the two teams in that series." type="list">
      <formula1>=Bracket!$C$5:$D$5</formula1>
    </dataValidation>
    <dataValidation sqref="X6" showDropDown="0" showInputMessage="0" showErrorMessage="0" allowBlank="1" errorTitle="Invalid games pick" error="Enter 4, 5, 6, or 7." type="whole" operator="between">
      <formula1>4</formula1>
      <formula2>7</formula2>
    </dataValidation>
    <dataValidation sqref="W7" showDropDown="0" showInputMessage="0" showErrorMessage="0" allowBlank="1" errorTitle="Invalid winner pick" error="Pick must be one of the two teams in that series." type="list">
      <formula1>=Bracket!$C$6:$D$6</formula1>
    </dataValidation>
    <dataValidation sqref="X7" showDropDown="0" showInputMessage="0" showErrorMessage="0" allowBlank="1" errorTitle="Invalid games pick" error="Enter 4, 5, 6, or 7." type="whole" operator="between">
      <formula1>4</formula1>
      <formula2>7</formula2>
    </dataValidation>
    <dataValidation sqref="W8" showDropDown="0" showInputMessage="0" showErrorMessage="0" allowBlank="1" errorTitle="Invalid winner pick" error="Pick must be one of the two teams in that series." type="list">
      <formula1>=Bracket!$C$7:$D$7</formula1>
    </dataValidation>
    <dataValidation sqref="X8" showDropDown="0" showInputMessage="0" showErrorMessage="0" allowBlank="1" errorTitle="Invalid games pick" error="Enter 4, 5, 6, or 7." type="whole" operator="between">
      <formula1>4</formula1>
      <formula2>7</formula2>
    </dataValidation>
    <dataValidation sqref="W9" showDropDown="0" showInputMessage="0" showErrorMessage="0" allowBlank="1" errorTitle="Invalid winner pick" error="Pick must be one of the two teams in that series." type="list">
      <formula1>=Bracket!$C$8:$D$8</formula1>
    </dataValidation>
    <dataValidation sqref="X9" showDropDown="0" showInputMessage="0" showErrorMessage="0" allowBlank="1" errorTitle="Invalid games pick" error="Enter 4, 5, 6, or 7." type="whole" operator="between">
      <formula1>4</formula1>
      <formula2>7</formula2>
    </dataValidation>
    <dataValidation sqref="W10" showDropDown="0" showInputMessage="0" showErrorMessage="0" allowBlank="1" errorTitle="Invalid winner pick" error="Pick must be one of the two teams in that series." type="list">
      <formula1>=Bracket!$C$9:$D$9</formula1>
    </dataValidation>
    <dataValidation sqref="X10" showDropDown="0" showInputMessage="0" showErrorMessage="0" allowBlank="1" errorTitle="Invalid games pick" error="Enter 4, 5, 6, or 7." type="whole" operator="between">
      <formula1>4</formula1>
      <formula2>7</formula2>
    </dataValidation>
    <dataValidation sqref="W11" showDropDown="0" showInputMessage="0" showErrorMessage="0" allowBlank="1" errorTitle="Invalid winner pick" error="Pick must be one of the two teams in that series." type="list">
      <formula1>=Bracket!$C$10:$D$10</formula1>
    </dataValidation>
    <dataValidation sqref="X11" showDropDown="0" showInputMessage="0" showErrorMessage="0" allowBlank="1" errorTitle="Invalid games pick" error="Enter 4, 5, 6, or 7." type="whole" operator="between">
      <formula1>4</formula1>
      <formula2>7</formula2>
    </dataValidation>
    <dataValidation sqref="W12" showDropDown="0" showInputMessage="0" showErrorMessage="0" allowBlank="1" errorTitle="Invalid winner pick" error="Pick must be one of the two teams in that series." type="list">
      <formula1>=Bracket!$C$11:$D$11</formula1>
    </dataValidation>
    <dataValidation sqref="X12" showDropDown="0" showInputMessage="0" showErrorMessage="0" allowBlank="1" errorTitle="Invalid games pick" error="Enter 4, 5, 6, or 7." type="whole" operator="between">
      <formula1>4</formula1>
      <formula2>7</formula2>
    </dataValidation>
    <dataValidation sqref="W13" showDropDown="0" showInputMessage="0" showErrorMessage="0" allowBlank="1" errorTitle="Invalid winner pick" error="Pick must be one of the two teams in that series." type="list">
      <formula1>=Bracket!$C$12:$D$12</formula1>
    </dataValidation>
    <dataValidation sqref="X13" showDropDown="0" showInputMessage="0" showErrorMessage="0" allowBlank="1" errorTitle="Invalid games pick" error="Enter 4, 5, 6, or 7." type="whole" operator="between">
      <formula1>4</formula1>
      <formula2>7</formula2>
    </dataValidation>
    <dataValidation sqref="W14" showDropDown="0" showInputMessage="0" showErrorMessage="0" allowBlank="1" errorTitle="Invalid winner pick" error="Pick must be one of the two teams in that series." type="list">
      <formula1>=Bracket!$C$13:$D$13</formula1>
    </dataValidation>
    <dataValidation sqref="X14" showDropDown="0" showInputMessage="0" showErrorMessage="0" allowBlank="1" errorTitle="Invalid games pick" error="Enter 4, 5, 6, or 7." type="whole" operator="between">
      <formula1>4</formula1>
      <formula2>7</formula2>
    </dataValidation>
    <dataValidation sqref="W15" showDropDown="0" showInputMessage="0" showErrorMessage="0" allowBlank="1" errorTitle="Invalid winner pick" error="Pick must be one of the two teams in that series." type="list">
      <formula1>=Bracket!$C$14:$D$14</formula1>
    </dataValidation>
    <dataValidation sqref="X15" showDropDown="0" showInputMessage="0" showErrorMessage="0" allowBlank="1" errorTitle="Invalid games pick" error="Enter 4, 5, 6, or 7." type="whole" operator="between">
      <formula1>4</formula1>
      <formula2>7</formula2>
    </dataValidation>
    <dataValidation sqref="W16" showDropDown="0" showInputMessage="0" showErrorMessage="0" allowBlank="1" errorTitle="Invalid winner pick" error="Pick must be one of the two teams in that series." type="list">
      <formula1>=Bracket!$C$15:$D$15</formula1>
    </dataValidation>
    <dataValidation sqref="X16" showDropDown="0" showInputMessage="0" showErrorMessage="0" allowBlank="1" errorTitle="Invalid games pick" error="Enter 4, 5, 6, or 7." type="whole" operator="between">
      <formula1>4</formula1>
      <formula2>7</formula2>
    </dataValidation>
    <dataValidation sqref="W17" showDropDown="0" showInputMessage="0" showErrorMessage="0" allowBlank="1" errorTitle="Invalid winner pick" error="Pick must be one of the two teams in that series." type="list">
      <formula1>=Bracket!$C$16:$D$16</formula1>
    </dataValidation>
    <dataValidation sqref="X17" showDropDown="0" showInputMessage="0" showErrorMessage="0" allowBlank="1" errorTitle="Invalid games pick" error="Enter 4, 5, 6, or 7." type="whole" operator="between">
      <formula1>4</formula1>
      <formula2>7</formula2>
    </dataValidation>
    <dataValidation sqref="W18" showDropDown="0" showInputMessage="0" showErrorMessage="0" allowBlank="1" errorTitle="Invalid guess" error="Enter a non-negative integer." type="whole" operator="between">
      <formula1>0</formula1>
      <formula2>200</formula2>
    </dataValidation>
    <dataValidation sqref="Y3" showDropDown="0" showInputMessage="0" showErrorMessage="0" allowBlank="1" errorTitle="Invalid winner pick" error="Pick must be one of the two teams in that series." type="list">
      <formula1>=Bracket!$C$2:$D$2</formula1>
    </dataValidation>
    <dataValidation sqref="Z3" showDropDown="0" showInputMessage="0" showErrorMessage="0" allowBlank="1" errorTitle="Invalid games pick" error="Enter 4, 5, 6, or 7." type="whole" operator="between">
      <formula1>4</formula1>
      <formula2>7</formula2>
    </dataValidation>
    <dataValidation sqref="Y4" showDropDown="0" showInputMessage="0" showErrorMessage="0" allowBlank="1" errorTitle="Invalid winner pick" error="Pick must be one of the two teams in that series." type="list">
      <formula1>=Bracket!$C$3:$D$3</formula1>
    </dataValidation>
    <dataValidation sqref="Z4" showDropDown="0" showInputMessage="0" showErrorMessage="0" allowBlank="1" errorTitle="Invalid games pick" error="Enter 4, 5, 6, or 7." type="whole" operator="between">
      <formula1>4</formula1>
      <formula2>7</formula2>
    </dataValidation>
    <dataValidation sqref="Y5" showDropDown="0" showInputMessage="0" showErrorMessage="0" allowBlank="1" errorTitle="Invalid winner pick" error="Pick must be one of the two teams in that series." type="list">
      <formula1>=Bracket!$C$4:$D$4</formula1>
    </dataValidation>
    <dataValidation sqref="Z5" showDropDown="0" showInputMessage="0" showErrorMessage="0" allowBlank="1" errorTitle="Invalid games pick" error="Enter 4, 5, 6, or 7." type="whole" operator="between">
      <formula1>4</formula1>
      <formula2>7</formula2>
    </dataValidation>
    <dataValidation sqref="Y6" showDropDown="0" showInputMessage="0" showErrorMessage="0" allowBlank="1" errorTitle="Invalid winner pick" error="Pick must be one of the two teams in that series." type="list">
      <formula1>=Bracket!$C$5:$D$5</formula1>
    </dataValidation>
    <dataValidation sqref="Z6" showDropDown="0" showInputMessage="0" showErrorMessage="0" allowBlank="1" errorTitle="Invalid games pick" error="Enter 4, 5, 6, or 7." type="whole" operator="between">
      <formula1>4</formula1>
      <formula2>7</formula2>
    </dataValidation>
    <dataValidation sqref="Y7" showDropDown="0" showInputMessage="0" showErrorMessage="0" allowBlank="1" errorTitle="Invalid winner pick" error="Pick must be one of the two teams in that series." type="list">
      <formula1>=Bracket!$C$6:$D$6</formula1>
    </dataValidation>
    <dataValidation sqref="Z7" showDropDown="0" showInputMessage="0" showErrorMessage="0" allowBlank="1" errorTitle="Invalid games pick" error="Enter 4, 5, 6, or 7." type="whole" operator="between">
      <formula1>4</formula1>
      <formula2>7</formula2>
    </dataValidation>
    <dataValidation sqref="Y8" showDropDown="0" showInputMessage="0" showErrorMessage="0" allowBlank="1" errorTitle="Invalid winner pick" error="Pick must be one of the two teams in that series." type="list">
      <formula1>=Bracket!$C$7:$D$7</formula1>
    </dataValidation>
    <dataValidation sqref="Z8" showDropDown="0" showInputMessage="0" showErrorMessage="0" allowBlank="1" errorTitle="Invalid games pick" error="Enter 4, 5, 6, or 7." type="whole" operator="between">
      <formula1>4</formula1>
      <formula2>7</formula2>
    </dataValidation>
    <dataValidation sqref="Y9" showDropDown="0" showInputMessage="0" showErrorMessage="0" allowBlank="1" errorTitle="Invalid winner pick" error="Pick must be one of the two teams in that series." type="list">
      <formula1>=Bracket!$C$8:$D$8</formula1>
    </dataValidation>
    <dataValidation sqref="Z9" showDropDown="0" showInputMessage="0" showErrorMessage="0" allowBlank="1" errorTitle="Invalid games pick" error="Enter 4, 5, 6, or 7." type="whole" operator="between">
      <formula1>4</formula1>
      <formula2>7</formula2>
    </dataValidation>
    <dataValidation sqref="Y10" showDropDown="0" showInputMessage="0" showErrorMessage="0" allowBlank="1" errorTitle="Invalid winner pick" error="Pick must be one of the two teams in that series." type="list">
      <formula1>=Bracket!$C$9:$D$9</formula1>
    </dataValidation>
    <dataValidation sqref="Z10" showDropDown="0" showInputMessage="0" showErrorMessage="0" allowBlank="1" errorTitle="Invalid games pick" error="Enter 4, 5, 6, or 7." type="whole" operator="between">
      <formula1>4</formula1>
      <formula2>7</formula2>
    </dataValidation>
    <dataValidation sqref="Y11" showDropDown="0" showInputMessage="0" showErrorMessage="0" allowBlank="1" errorTitle="Invalid winner pick" error="Pick must be one of the two teams in that series." type="list">
      <formula1>=Bracket!$C$10:$D$10</formula1>
    </dataValidation>
    <dataValidation sqref="Z11" showDropDown="0" showInputMessage="0" showErrorMessage="0" allowBlank="1" errorTitle="Invalid games pick" error="Enter 4, 5, 6, or 7." type="whole" operator="between">
      <formula1>4</formula1>
      <formula2>7</formula2>
    </dataValidation>
    <dataValidation sqref="Y12" showDropDown="0" showInputMessage="0" showErrorMessage="0" allowBlank="1" errorTitle="Invalid winner pick" error="Pick must be one of the two teams in that series." type="list">
      <formula1>=Bracket!$C$11:$D$11</formula1>
    </dataValidation>
    <dataValidation sqref="Z12" showDropDown="0" showInputMessage="0" showErrorMessage="0" allowBlank="1" errorTitle="Invalid games pick" error="Enter 4, 5, 6, or 7." type="whole" operator="between">
      <formula1>4</formula1>
      <formula2>7</formula2>
    </dataValidation>
    <dataValidation sqref="Y13" showDropDown="0" showInputMessage="0" showErrorMessage="0" allowBlank="1" errorTitle="Invalid winner pick" error="Pick must be one of the two teams in that series." type="list">
      <formula1>=Bracket!$C$12:$D$12</formula1>
    </dataValidation>
    <dataValidation sqref="Z13" showDropDown="0" showInputMessage="0" showErrorMessage="0" allowBlank="1" errorTitle="Invalid games pick" error="Enter 4, 5, 6, or 7." type="whole" operator="between">
      <formula1>4</formula1>
      <formula2>7</formula2>
    </dataValidation>
    <dataValidation sqref="Y14" showDropDown="0" showInputMessage="0" showErrorMessage="0" allowBlank="1" errorTitle="Invalid winner pick" error="Pick must be one of the two teams in that series." type="list">
      <formula1>=Bracket!$C$13:$D$13</formula1>
    </dataValidation>
    <dataValidation sqref="Z14" showDropDown="0" showInputMessage="0" showErrorMessage="0" allowBlank="1" errorTitle="Invalid games pick" error="Enter 4, 5, 6, or 7." type="whole" operator="between">
      <formula1>4</formula1>
      <formula2>7</formula2>
    </dataValidation>
    <dataValidation sqref="Y15" showDropDown="0" showInputMessage="0" showErrorMessage="0" allowBlank="1" errorTitle="Invalid winner pick" error="Pick must be one of the two teams in that series." type="list">
      <formula1>=Bracket!$C$14:$D$14</formula1>
    </dataValidation>
    <dataValidation sqref="Z15" showDropDown="0" showInputMessage="0" showErrorMessage="0" allowBlank="1" errorTitle="Invalid games pick" error="Enter 4, 5, 6, or 7." type="whole" operator="between">
      <formula1>4</formula1>
      <formula2>7</formula2>
    </dataValidation>
    <dataValidation sqref="Y16" showDropDown="0" showInputMessage="0" showErrorMessage="0" allowBlank="1" errorTitle="Invalid winner pick" error="Pick must be one of the two teams in that series." type="list">
      <formula1>=Bracket!$C$15:$D$15</formula1>
    </dataValidation>
    <dataValidation sqref="Z16" showDropDown="0" showInputMessage="0" showErrorMessage="0" allowBlank="1" errorTitle="Invalid games pick" error="Enter 4, 5, 6, or 7." type="whole" operator="between">
      <formula1>4</formula1>
      <formula2>7</formula2>
    </dataValidation>
    <dataValidation sqref="Y17" showDropDown="0" showInputMessage="0" showErrorMessage="0" allowBlank="1" errorTitle="Invalid winner pick" error="Pick must be one of the two teams in that series." type="list">
      <formula1>=Bracket!$C$16:$D$16</formula1>
    </dataValidation>
    <dataValidation sqref="Z17" showDropDown="0" showInputMessage="0" showErrorMessage="0" allowBlank="1" errorTitle="Invalid games pick" error="Enter 4, 5, 6, or 7." type="whole" operator="between">
      <formula1>4</formula1>
      <formula2>7</formula2>
    </dataValidation>
    <dataValidation sqref="Y18" showDropDown="0" showInputMessage="0" showErrorMessage="0" allowBlank="1" errorTitle="Invalid guess" error="Enter a non-negative integer." type="whole" operator="between">
      <formula1>0</formula1>
      <formula2>200</formula2>
    </dataValidation>
    <dataValidation sqref="AA3" showDropDown="0" showInputMessage="0" showErrorMessage="0" allowBlank="1" errorTitle="Invalid winner pick" error="Pick must be one of the two teams in that series." type="list">
      <formula1>=Bracket!$C$2:$D$2</formula1>
    </dataValidation>
    <dataValidation sqref="AB3" showDropDown="0" showInputMessage="0" showErrorMessage="0" allowBlank="1" errorTitle="Invalid games pick" error="Enter 4, 5, 6, or 7." type="whole" operator="between">
      <formula1>4</formula1>
      <formula2>7</formula2>
    </dataValidation>
    <dataValidation sqref="AA4" showDropDown="0" showInputMessage="0" showErrorMessage="0" allowBlank="1" errorTitle="Invalid winner pick" error="Pick must be one of the two teams in that series." type="list">
      <formula1>=Bracket!$C$3:$D$3</formula1>
    </dataValidation>
    <dataValidation sqref="AB4" showDropDown="0" showInputMessage="0" showErrorMessage="0" allowBlank="1" errorTitle="Invalid games pick" error="Enter 4, 5, 6, or 7." type="whole" operator="between">
      <formula1>4</formula1>
      <formula2>7</formula2>
    </dataValidation>
    <dataValidation sqref="AA5" showDropDown="0" showInputMessage="0" showErrorMessage="0" allowBlank="1" errorTitle="Invalid winner pick" error="Pick must be one of the two teams in that series." type="list">
      <formula1>=Bracket!$C$4:$D$4</formula1>
    </dataValidation>
    <dataValidation sqref="AB5" showDropDown="0" showInputMessage="0" showErrorMessage="0" allowBlank="1" errorTitle="Invalid games pick" error="Enter 4, 5, 6, or 7." type="whole" operator="between">
      <formula1>4</formula1>
      <formula2>7</formula2>
    </dataValidation>
    <dataValidation sqref="AA6" showDropDown="0" showInputMessage="0" showErrorMessage="0" allowBlank="1" errorTitle="Invalid winner pick" error="Pick must be one of the two teams in that series." type="list">
      <formula1>=Bracket!$C$5:$D$5</formula1>
    </dataValidation>
    <dataValidation sqref="AB6" showDropDown="0" showInputMessage="0" showErrorMessage="0" allowBlank="1" errorTitle="Invalid games pick" error="Enter 4, 5, 6, or 7." type="whole" operator="between">
      <formula1>4</formula1>
      <formula2>7</formula2>
    </dataValidation>
    <dataValidation sqref="AA7" showDropDown="0" showInputMessage="0" showErrorMessage="0" allowBlank="1" errorTitle="Invalid winner pick" error="Pick must be one of the two teams in that series." type="list">
      <formula1>=Bracket!$C$6:$D$6</formula1>
    </dataValidation>
    <dataValidation sqref="AB7" showDropDown="0" showInputMessage="0" showErrorMessage="0" allowBlank="1" errorTitle="Invalid games pick" error="Enter 4, 5, 6, or 7." type="whole" operator="between">
      <formula1>4</formula1>
      <formula2>7</formula2>
    </dataValidation>
    <dataValidation sqref="AA8" showDropDown="0" showInputMessage="0" showErrorMessage="0" allowBlank="1" errorTitle="Invalid winner pick" error="Pick must be one of the two teams in that series." type="list">
      <formula1>=Bracket!$C$7:$D$7</formula1>
    </dataValidation>
    <dataValidation sqref="AB8" showDropDown="0" showInputMessage="0" showErrorMessage="0" allowBlank="1" errorTitle="Invalid games pick" error="Enter 4, 5, 6, or 7." type="whole" operator="between">
      <formula1>4</formula1>
      <formula2>7</formula2>
    </dataValidation>
    <dataValidation sqref="AA9" showDropDown="0" showInputMessage="0" showErrorMessage="0" allowBlank="1" errorTitle="Invalid winner pick" error="Pick must be one of the two teams in that series." type="list">
      <formula1>=Bracket!$C$8:$D$8</formula1>
    </dataValidation>
    <dataValidation sqref="AB9" showDropDown="0" showInputMessage="0" showErrorMessage="0" allowBlank="1" errorTitle="Invalid games pick" error="Enter 4, 5, 6, or 7." type="whole" operator="between">
      <formula1>4</formula1>
      <formula2>7</formula2>
    </dataValidation>
    <dataValidation sqref="AA10" showDropDown="0" showInputMessage="0" showErrorMessage="0" allowBlank="1" errorTitle="Invalid winner pick" error="Pick must be one of the two teams in that series." type="list">
      <formula1>=Bracket!$C$9:$D$9</formula1>
    </dataValidation>
    <dataValidation sqref="AB10" showDropDown="0" showInputMessage="0" showErrorMessage="0" allowBlank="1" errorTitle="Invalid games pick" error="Enter 4, 5, 6, or 7." type="whole" operator="between">
      <formula1>4</formula1>
      <formula2>7</formula2>
    </dataValidation>
    <dataValidation sqref="AA11" showDropDown="0" showInputMessage="0" showErrorMessage="0" allowBlank="1" errorTitle="Invalid winner pick" error="Pick must be one of the two teams in that series." type="list">
      <formula1>=Bracket!$C$10:$D$10</formula1>
    </dataValidation>
    <dataValidation sqref="AB11" showDropDown="0" showInputMessage="0" showErrorMessage="0" allowBlank="1" errorTitle="Invalid games pick" error="Enter 4, 5, 6, or 7." type="whole" operator="between">
      <formula1>4</formula1>
      <formula2>7</formula2>
    </dataValidation>
    <dataValidation sqref="AA12" showDropDown="0" showInputMessage="0" showErrorMessage="0" allowBlank="1" errorTitle="Invalid winner pick" error="Pick must be one of the two teams in that series." type="list">
      <formula1>=Bracket!$C$11:$D$11</formula1>
    </dataValidation>
    <dataValidation sqref="AB12" showDropDown="0" showInputMessage="0" showErrorMessage="0" allowBlank="1" errorTitle="Invalid games pick" error="Enter 4, 5, 6, or 7." type="whole" operator="between">
      <formula1>4</formula1>
      <formula2>7</formula2>
    </dataValidation>
    <dataValidation sqref="AA13" showDropDown="0" showInputMessage="0" showErrorMessage="0" allowBlank="1" errorTitle="Invalid winner pick" error="Pick must be one of the two teams in that series." type="list">
      <formula1>=Bracket!$C$12:$D$12</formula1>
    </dataValidation>
    <dataValidation sqref="AB13" showDropDown="0" showInputMessage="0" showErrorMessage="0" allowBlank="1" errorTitle="Invalid games pick" error="Enter 4, 5, 6, or 7." type="whole" operator="between">
      <formula1>4</formula1>
      <formula2>7</formula2>
    </dataValidation>
    <dataValidation sqref="AA14" showDropDown="0" showInputMessage="0" showErrorMessage="0" allowBlank="1" errorTitle="Invalid winner pick" error="Pick must be one of the two teams in that series." type="list">
      <formula1>=Bracket!$C$13:$D$13</formula1>
    </dataValidation>
    <dataValidation sqref="AB14" showDropDown="0" showInputMessage="0" showErrorMessage="0" allowBlank="1" errorTitle="Invalid games pick" error="Enter 4, 5, 6, or 7." type="whole" operator="between">
      <formula1>4</formula1>
      <formula2>7</formula2>
    </dataValidation>
    <dataValidation sqref="AA15" showDropDown="0" showInputMessage="0" showErrorMessage="0" allowBlank="1" errorTitle="Invalid winner pick" error="Pick must be one of the two teams in that series." type="list">
      <formula1>=Bracket!$C$14:$D$14</formula1>
    </dataValidation>
    <dataValidation sqref="AB15" showDropDown="0" showInputMessage="0" showErrorMessage="0" allowBlank="1" errorTitle="Invalid games pick" error="Enter 4, 5, 6, or 7." type="whole" operator="between">
      <formula1>4</formula1>
      <formula2>7</formula2>
    </dataValidation>
    <dataValidation sqref="AA16" showDropDown="0" showInputMessage="0" showErrorMessage="0" allowBlank="1" errorTitle="Invalid winner pick" error="Pick must be one of the two teams in that series." type="list">
      <formula1>=Bracket!$C$15:$D$15</formula1>
    </dataValidation>
    <dataValidation sqref="AB16" showDropDown="0" showInputMessage="0" showErrorMessage="0" allowBlank="1" errorTitle="Invalid games pick" error="Enter 4, 5, 6, or 7." type="whole" operator="between">
      <formula1>4</formula1>
      <formula2>7</formula2>
    </dataValidation>
    <dataValidation sqref="AA17" showDropDown="0" showInputMessage="0" showErrorMessage="0" allowBlank="1" errorTitle="Invalid winner pick" error="Pick must be one of the two teams in that series." type="list">
      <formula1>=Bracket!$C$16:$D$16</formula1>
    </dataValidation>
    <dataValidation sqref="AB17" showDropDown="0" showInputMessage="0" showErrorMessage="0" allowBlank="1" errorTitle="Invalid games pick" error="Enter 4, 5, 6, or 7." type="whole" operator="between">
      <formula1>4</formula1>
      <formula2>7</formula2>
    </dataValidation>
    <dataValidation sqref="AA18" showDropDown="0" showInputMessage="0" showErrorMessage="0" allowBlank="1" errorTitle="Invalid guess" error="Enter a non-negative integer." type="whole" operator="between">
      <formula1>0</formula1>
      <formula2>200</formula2>
    </dataValidation>
    <dataValidation sqref="AC3" showDropDown="0" showInputMessage="0" showErrorMessage="0" allowBlank="1" errorTitle="Invalid winner pick" error="Pick must be one of the two teams in that series." type="list">
      <formula1>=Bracket!$C$2:$D$2</formula1>
    </dataValidation>
    <dataValidation sqref="AD3" showDropDown="0" showInputMessage="0" showErrorMessage="0" allowBlank="1" errorTitle="Invalid games pick" error="Enter 4, 5, 6, or 7." type="whole" operator="between">
      <formula1>4</formula1>
      <formula2>7</formula2>
    </dataValidation>
    <dataValidation sqref="AC4" showDropDown="0" showInputMessage="0" showErrorMessage="0" allowBlank="1" errorTitle="Invalid winner pick" error="Pick must be one of the two teams in that series." type="list">
      <formula1>=Bracket!$C$3:$D$3</formula1>
    </dataValidation>
    <dataValidation sqref="AD4" showDropDown="0" showInputMessage="0" showErrorMessage="0" allowBlank="1" errorTitle="Invalid games pick" error="Enter 4, 5, 6, or 7." type="whole" operator="between">
      <formula1>4</formula1>
      <formula2>7</formula2>
    </dataValidation>
    <dataValidation sqref="AC5" showDropDown="0" showInputMessage="0" showErrorMessage="0" allowBlank="1" errorTitle="Invalid winner pick" error="Pick must be one of the two teams in that series." type="list">
      <formula1>=Bracket!$C$4:$D$4</formula1>
    </dataValidation>
    <dataValidation sqref="AD5" showDropDown="0" showInputMessage="0" showErrorMessage="0" allowBlank="1" errorTitle="Invalid games pick" error="Enter 4, 5, 6, or 7." type="whole" operator="between">
      <formula1>4</formula1>
      <formula2>7</formula2>
    </dataValidation>
    <dataValidation sqref="AC6" showDropDown="0" showInputMessage="0" showErrorMessage="0" allowBlank="1" errorTitle="Invalid winner pick" error="Pick must be one of the two teams in that series." type="list">
      <formula1>=Bracket!$C$5:$D$5</formula1>
    </dataValidation>
    <dataValidation sqref="AD6" showDropDown="0" showInputMessage="0" showErrorMessage="0" allowBlank="1" errorTitle="Invalid games pick" error="Enter 4, 5, 6, or 7." type="whole" operator="between">
      <formula1>4</formula1>
      <formula2>7</formula2>
    </dataValidation>
    <dataValidation sqref="AC7" showDropDown="0" showInputMessage="0" showErrorMessage="0" allowBlank="1" errorTitle="Invalid winner pick" error="Pick must be one of the two teams in that series." type="list">
      <formula1>=Bracket!$C$6:$D$6</formula1>
    </dataValidation>
    <dataValidation sqref="AD7" showDropDown="0" showInputMessage="0" showErrorMessage="0" allowBlank="1" errorTitle="Invalid games pick" error="Enter 4, 5, 6, or 7." type="whole" operator="between">
      <formula1>4</formula1>
      <formula2>7</formula2>
    </dataValidation>
    <dataValidation sqref="AC8" showDropDown="0" showInputMessage="0" showErrorMessage="0" allowBlank="1" errorTitle="Invalid winner pick" error="Pick must be one of the two teams in that series." type="list">
      <formula1>=Bracket!$C$7:$D$7</formula1>
    </dataValidation>
    <dataValidation sqref="AD8" showDropDown="0" showInputMessage="0" showErrorMessage="0" allowBlank="1" errorTitle="Invalid games pick" error="Enter 4, 5, 6, or 7." type="whole" operator="between">
      <formula1>4</formula1>
      <formula2>7</formula2>
    </dataValidation>
    <dataValidation sqref="AC9" showDropDown="0" showInputMessage="0" showErrorMessage="0" allowBlank="1" errorTitle="Invalid winner pick" error="Pick must be one of the two teams in that series." type="list">
      <formula1>=Bracket!$C$8:$D$8</formula1>
    </dataValidation>
    <dataValidation sqref="AD9" showDropDown="0" showInputMessage="0" showErrorMessage="0" allowBlank="1" errorTitle="Invalid games pick" error="Enter 4, 5, 6, or 7." type="whole" operator="between">
      <formula1>4</formula1>
      <formula2>7</formula2>
    </dataValidation>
    <dataValidation sqref="AC10" showDropDown="0" showInputMessage="0" showErrorMessage="0" allowBlank="1" errorTitle="Invalid winner pick" error="Pick must be one of the two teams in that series." type="list">
      <formula1>=Bracket!$C$9:$D$9</formula1>
    </dataValidation>
    <dataValidation sqref="AD10" showDropDown="0" showInputMessage="0" showErrorMessage="0" allowBlank="1" errorTitle="Invalid games pick" error="Enter 4, 5, 6, or 7." type="whole" operator="between">
      <formula1>4</formula1>
      <formula2>7</formula2>
    </dataValidation>
    <dataValidation sqref="AC11" showDropDown="0" showInputMessage="0" showErrorMessage="0" allowBlank="1" errorTitle="Invalid winner pick" error="Pick must be one of the two teams in that series." type="list">
      <formula1>=Bracket!$C$10:$D$10</formula1>
    </dataValidation>
    <dataValidation sqref="AD11" showDropDown="0" showInputMessage="0" showErrorMessage="0" allowBlank="1" errorTitle="Invalid games pick" error="Enter 4, 5, 6, or 7." type="whole" operator="between">
      <formula1>4</formula1>
      <formula2>7</formula2>
    </dataValidation>
    <dataValidation sqref="AC12" showDropDown="0" showInputMessage="0" showErrorMessage="0" allowBlank="1" errorTitle="Invalid winner pick" error="Pick must be one of the two teams in that series." type="list">
      <formula1>=Bracket!$C$11:$D$11</formula1>
    </dataValidation>
    <dataValidation sqref="AD12" showDropDown="0" showInputMessage="0" showErrorMessage="0" allowBlank="1" errorTitle="Invalid games pick" error="Enter 4, 5, 6, or 7." type="whole" operator="between">
      <formula1>4</formula1>
      <formula2>7</formula2>
    </dataValidation>
    <dataValidation sqref="AC13" showDropDown="0" showInputMessage="0" showErrorMessage="0" allowBlank="1" errorTitle="Invalid winner pick" error="Pick must be one of the two teams in that series." type="list">
      <formula1>=Bracket!$C$12:$D$12</formula1>
    </dataValidation>
    <dataValidation sqref="AD13" showDropDown="0" showInputMessage="0" showErrorMessage="0" allowBlank="1" errorTitle="Invalid games pick" error="Enter 4, 5, 6, or 7." type="whole" operator="between">
      <formula1>4</formula1>
      <formula2>7</formula2>
    </dataValidation>
    <dataValidation sqref="AC14" showDropDown="0" showInputMessage="0" showErrorMessage="0" allowBlank="1" errorTitle="Invalid winner pick" error="Pick must be one of the two teams in that series." type="list">
      <formula1>=Bracket!$C$13:$D$13</formula1>
    </dataValidation>
    <dataValidation sqref="AD14" showDropDown="0" showInputMessage="0" showErrorMessage="0" allowBlank="1" errorTitle="Invalid games pick" error="Enter 4, 5, 6, or 7." type="whole" operator="between">
      <formula1>4</formula1>
      <formula2>7</formula2>
    </dataValidation>
    <dataValidation sqref="AC15" showDropDown="0" showInputMessage="0" showErrorMessage="0" allowBlank="1" errorTitle="Invalid winner pick" error="Pick must be one of the two teams in that series." type="list">
      <formula1>=Bracket!$C$14:$D$14</formula1>
    </dataValidation>
    <dataValidation sqref="AD15" showDropDown="0" showInputMessage="0" showErrorMessage="0" allowBlank="1" errorTitle="Invalid games pick" error="Enter 4, 5, 6, or 7." type="whole" operator="between">
      <formula1>4</formula1>
      <formula2>7</formula2>
    </dataValidation>
    <dataValidation sqref="AC16" showDropDown="0" showInputMessage="0" showErrorMessage="0" allowBlank="1" errorTitle="Invalid winner pick" error="Pick must be one of the two teams in that series." type="list">
      <formula1>=Bracket!$C$15:$D$15</formula1>
    </dataValidation>
    <dataValidation sqref="AD16" showDropDown="0" showInputMessage="0" showErrorMessage="0" allowBlank="1" errorTitle="Invalid games pick" error="Enter 4, 5, 6, or 7." type="whole" operator="between">
      <formula1>4</formula1>
      <formula2>7</formula2>
    </dataValidation>
    <dataValidation sqref="AC17" showDropDown="0" showInputMessage="0" showErrorMessage="0" allowBlank="1" errorTitle="Invalid winner pick" error="Pick must be one of the two teams in that series." type="list">
      <formula1>=Bracket!$C$16:$D$16</formula1>
    </dataValidation>
    <dataValidation sqref="AD17" showDropDown="0" showInputMessage="0" showErrorMessage="0" allowBlank="1" errorTitle="Invalid games pick" error="Enter 4, 5, 6, or 7." type="whole" operator="between">
      <formula1>4</formula1>
      <formula2>7</formula2>
    </dataValidation>
    <dataValidation sqref="AC18" showDropDown="0" showInputMessage="0" showErrorMessage="0" allowBlank="1" errorTitle="Invalid guess" error="Enter a non-negative integer." type="whole" operator="between">
      <formula1>0</formula1>
      <formula2>200</formula2>
    </dataValidation>
    <dataValidation sqref="AE3" showDropDown="0" showInputMessage="0" showErrorMessage="0" allowBlank="1" errorTitle="Invalid winner pick" error="Pick must be one of the two teams in that series." type="list">
      <formula1>=Bracket!$C$2:$D$2</formula1>
    </dataValidation>
    <dataValidation sqref="AF3" showDropDown="0" showInputMessage="0" showErrorMessage="0" allowBlank="1" errorTitle="Invalid games pick" error="Enter 4, 5, 6, or 7." type="whole" operator="between">
      <formula1>4</formula1>
      <formula2>7</formula2>
    </dataValidation>
    <dataValidation sqref="AE4" showDropDown="0" showInputMessage="0" showErrorMessage="0" allowBlank="1" errorTitle="Invalid winner pick" error="Pick must be one of the two teams in that series." type="list">
      <formula1>=Bracket!$C$3:$D$3</formula1>
    </dataValidation>
    <dataValidation sqref="AF4" showDropDown="0" showInputMessage="0" showErrorMessage="0" allowBlank="1" errorTitle="Invalid games pick" error="Enter 4, 5, 6, or 7." type="whole" operator="between">
      <formula1>4</formula1>
      <formula2>7</formula2>
    </dataValidation>
    <dataValidation sqref="AE5" showDropDown="0" showInputMessage="0" showErrorMessage="0" allowBlank="1" errorTitle="Invalid winner pick" error="Pick must be one of the two teams in that series." type="list">
      <formula1>=Bracket!$C$4:$D$4</formula1>
    </dataValidation>
    <dataValidation sqref="AF5" showDropDown="0" showInputMessage="0" showErrorMessage="0" allowBlank="1" errorTitle="Invalid games pick" error="Enter 4, 5, 6, or 7." type="whole" operator="between">
      <formula1>4</formula1>
      <formula2>7</formula2>
    </dataValidation>
    <dataValidation sqref="AE6" showDropDown="0" showInputMessage="0" showErrorMessage="0" allowBlank="1" errorTitle="Invalid winner pick" error="Pick must be one of the two teams in that series." type="list">
      <formula1>=Bracket!$C$5:$D$5</formula1>
    </dataValidation>
    <dataValidation sqref="AF6" showDropDown="0" showInputMessage="0" showErrorMessage="0" allowBlank="1" errorTitle="Invalid games pick" error="Enter 4, 5, 6, or 7." type="whole" operator="between">
      <formula1>4</formula1>
      <formula2>7</formula2>
    </dataValidation>
    <dataValidation sqref="AE7" showDropDown="0" showInputMessage="0" showErrorMessage="0" allowBlank="1" errorTitle="Invalid winner pick" error="Pick must be one of the two teams in that series." type="list">
      <formula1>=Bracket!$C$6:$D$6</formula1>
    </dataValidation>
    <dataValidation sqref="AF7" showDropDown="0" showInputMessage="0" showErrorMessage="0" allowBlank="1" errorTitle="Invalid games pick" error="Enter 4, 5, 6, or 7." type="whole" operator="between">
      <formula1>4</formula1>
      <formula2>7</formula2>
    </dataValidation>
    <dataValidation sqref="AE8" showDropDown="0" showInputMessage="0" showErrorMessage="0" allowBlank="1" errorTitle="Invalid winner pick" error="Pick must be one of the two teams in that series." type="list">
      <formula1>=Bracket!$C$7:$D$7</formula1>
    </dataValidation>
    <dataValidation sqref="AF8" showDropDown="0" showInputMessage="0" showErrorMessage="0" allowBlank="1" errorTitle="Invalid games pick" error="Enter 4, 5, 6, or 7." type="whole" operator="between">
      <formula1>4</formula1>
      <formula2>7</formula2>
    </dataValidation>
    <dataValidation sqref="AE9" showDropDown="0" showInputMessage="0" showErrorMessage="0" allowBlank="1" errorTitle="Invalid winner pick" error="Pick must be one of the two teams in that series." type="list">
      <formula1>=Bracket!$C$8:$D$8</formula1>
    </dataValidation>
    <dataValidation sqref="AF9" showDropDown="0" showInputMessage="0" showErrorMessage="0" allowBlank="1" errorTitle="Invalid games pick" error="Enter 4, 5, 6, or 7." type="whole" operator="between">
      <formula1>4</formula1>
      <formula2>7</formula2>
    </dataValidation>
    <dataValidation sqref="AE10" showDropDown="0" showInputMessage="0" showErrorMessage="0" allowBlank="1" errorTitle="Invalid winner pick" error="Pick must be one of the two teams in that series." type="list">
      <formula1>=Bracket!$C$9:$D$9</formula1>
    </dataValidation>
    <dataValidation sqref="AF10" showDropDown="0" showInputMessage="0" showErrorMessage="0" allowBlank="1" errorTitle="Invalid games pick" error="Enter 4, 5, 6, or 7." type="whole" operator="between">
      <formula1>4</formula1>
      <formula2>7</formula2>
    </dataValidation>
    <dataValidation sqref="AE11" showDropDown="0" showInputMessage="0" showErrorMessage="0" allowBlank="1" errorTitle="Invalid winner pick" error="Pick must be one of the two teams in that series." type="list">
      <formula1>=Bracket!$C$10:$D$10</formula1>
    </dataValidation>
    <dataValidation sqref="AF11" showDropDown="0" showInputMessage="0" showErrorMessage="0" allowBlank="1" errorTitle="Invalid games pick" error="Enter 4, 5, 6, or 7." type="whole" operator="between">
      <formula1>4</formula1>
      <formula2>7</formula2>
    </dataValidation>
    <dataValidation sqref="AE12" showDropDown="0" showInputMessage="0" showErrorMessage="0" allowBlank="1" errorTitle="Invalid winner pick" error="Pick must be one of the two teams in that series." type="list">
      <formula1>=Bracket!$C$11:$D$11</formula1>
    </dataValidation>
    <dataValidation sqref="AF12" showDropDown="0" showInputMessage="0" showErrorMessage="0" allowBlank="1" errorTitle="Invalid games pick" error="Enter 4, 5, 6, or 7." type="whole" operator="between">
      <formula1>4</formula1>
      <formula2>7</formula2>
    </dataValidation>
    <dataValidation sqref="AE13" showDropDown="0" showInputMessage="0" showErrorMessage="0" allowBlank="1" errorTitle="Invalid winner pick" error="Pick must be one of the two teams in that series." type="list">
      <formula1>=Bracket!$C$12:$D$12</formula1>
    </dataValidation>
    <dataValidation sqref="AF13" showDropDown="0" showInputMessage="0" showErrorMessage="0" allowBlank="1" errorTitle="Invalid games pick" error="Enter 4, 5, 6, or 7." type="whole" operator="between">
      <formula1>4</formula1>
      <formula2>7</formula2>
    </dataValidation>
    <dataValidation sqref="AE14" showDropDown="0" showInputMessage="0" showErrorMessage="0" allowBlank="1" errorTitle="Invalid winner pick" error="Pick must be one of the two teams in that series." type="list">
      <formula1>=Bracket!$C$13:$D$13</formula1>
    </dataValidation>
    <dataValidation sqref="AF14" showDropDown="0" showInputMessage="0" showErrorMessage="0" allowBlank="1" errorTitle="Invalid games pick" error="Enter 4, 5, 6, or 7." type="whole" operator="between">
      <formula1>4</formula1>
      <formula2>7</formula2>
    </dataValidation>
    <dataValidation sqref="AE15" showDropDown="0" showInputMessage="0" showErrorMessage="0" allowBlank="1" errorTitle="Invalid winner pick" error="Pick must be one of the two teams in that series." type="list">
      <formula1>=Bracket!$C$14:$D$14</formula1>
    </dataValidation>
    <dataValidation sqref="AF15" showDropDown="0" showInputMessage="0" showErrorMessage="0" allowBlank="1" errorTitle="Invalid games pick" error="Enter 4, 5, 6, or 7." type="whole" operator="between">
      <formula1>4</formula1>
      <formula2>7</formula2>
    </dataValidation>
    <dataValidation sqref="AE16" showDropDown="0" showInputMessage="0" showErrorMessage="0" allowBlank="1" errorTitle="Invalid winner pick" error="Pick must be one of the two teams in that series." type="list">
      <formula1>=Bracket!$C$15:$D$15</formula1>
    </dataValidation>
    <dataValidation sqref="AF16" showDropDown="0" showInputMessage="0" showErrorMessage="0" allowBlank="1" errorTitle="Invalid games pick" error="Enter 4, 5, 6, or 7." type="whole" operator="between">
      <formula1>4</formula1>
      <formula2>7</formula2>
    </dataValidation>
    <dataValidation sqref="AE17" showDropDown="0" showInputMessage="0" showErrorMessage="0" allowBlank="1" errorTitle="Invalid winner pick" error="Pick must be one of the two teams in that series." type="list">
      <formula1>=Bracket!$C$16:$D$16</formula1>
    </dataValidation>
    <dataValidation sqref="AF17" showDropDown="0" showInputMessage="0" showErrorMessage="0" allowBlank="1" errorTitle="Invalid games pick" error="Enter 4, 5, 6, or 7." type="whole" operator="between">
      <formula1>4</formula1>
      <formula2>7</formula2>
    </dataValidation>
    <dataValidation sqref="AE18" showDropDown="0" showInputMessage="0" showErrorMessage="0" allowBlank="1" errorTitle="Invalid guess" error="Enter a non-negative integer." type="whole" operator="between">
      <formula1>0</formula1>
      <formula2>200</formula2>
    </dataValidation>
    <dataValidation sqref="AG3" showDropDown="0" showInputMessage="0" showErrorMessage="0" allowBlank="1" errorTitle="Invalid winner pick" error="Pick must be one of the two teams in that series." type="list">
      <formula1>=Bracket!$C$2:$D$2</formula1>
    </dataValidation>
    <dataValidation sqref="AH3" showDropDown="0" showInputMessage="0" showErrorMessage="0" allowBlank="1" errorTitle="Invalid games pick" error="Enter 4, 5, 6, or 7." type="whole" operator="between">
      <formula1>4</formula1>
      <formula2>7</formula2>
    </dataValidation>
    <dataValidation sqref="AG4" showDropDown="0" showInputMessage="0" showErrorMessage="0" allowBlank="1" errorTitle="Invalid winner pick" error="Pick must be one of the two teams in that series." type="list">
      <formula1>=Bracket!$C$3:$D$3</formula1>
    </dataValidation>
    <dataValidation sqref="AH4" showDropDown="0" showInputMessage="0" showErrorMessage="0" allowBlank="1" errorTitle="Invalid games pick" error="Enter 4, 5, 6, or 7." type="whole" operator="between">
      <formula1>4</formula1>
      <formula2>7</formula2>
    </dataValidation>
    <dataValidation sqref="AG5" showDropDown="0" showInputMessage="0" showErrorMessage="0" allowBlank="1" errorTitle="Invalid winner pick" error="Pick must be one of the two teams in that series." type="list">
      <formula1>=Bracket!$C$4:$D$4</formula1>
    </dataValidation>
    <dataValidation sqref="AH5" showDropDown="0" showInputMessage="0" showErrorMessage="0" allowBlank="1" errorTitle="Invalid games pick" error="Enter 4, 5, 6, or 7." type="whole" operator="between">
      <formula1>4</formula1>
      <formula2>7</formula2>
    </dataValidation>
    <dataValidation sqref="AG6" showDropDown="0" showInputMessage="0" showErrorMessage="0" allowBlank="1" errorTitle="Invalid winner pick" error="Pick must be one of the two teams in that series." type="list">
      <formula1>=Bracket!$C$5:$D$5</formula1>
    </dataValidation>
    <dataValidation sqref="AH6" showDropDown="0" showInputMessage="0" showErrorMessage="0" allowBlank="1" errorTitle="Invalid games pick" error="Enter 4, 5, 6, or 7." type="whole" operator="between">
      <formula1>4</formula1>
      <formula2>7</formula2>
    </dataValidation>
    <dataValidation sqref="AG7" showDropDown="0" showInputMessage="0" showErrorMessage="0" allowBlank="1" errorTitle="Invalid winner pick" error="Pick must be one of the two teams in that series." type="list">
      <formula1>=Bracket!$C$6:$D$6</formula1>
    </dataValidation>
    <dataValidation sqref="AH7" showDropDown="0" showInputMessage="0" showErrorMessage="0" allowBlank="1" errorTitle="Invalid games pick" error="Enter 4, 5, 6, or 7." type="whole" operator="between">
      <formula1>4</formula1>
      <formula2>7</formula2>
    </dataValidation>
    <dataValidation sqref="AG8" showDropDown="0" showInputMessage="0" showErrorMessage="0" allowBlank="1" errorTitle="Invalid winner pick" error="Pick must be one of the two teams in that series." type="list">
      <formula1>=Bracket!$C$7:$D$7</formula1>
    </dataValidation>
    <dataValidation sqref="AH8" showDropDown="0" showInputMessage="0" showErrorMessage="0" allowBlank="1" errorTitle="Invalid games pick" error="Enter 4, 5, 6, or 7." type="whole" operator="between">
      <formula1>4</formula1>
      <formula2>7</formula2>
    </dataValidation>
    <dataValidation sqref="AG9" showDropDown="0" showInputMessage="0" showErrorMessage="0" allowBlank="1" errorTitle="Invalid winner pick" error="Pick must be one of the two teams in that series." type="list">
      <formula1>=Bracket!$C$8:$D$8</formula1>
    </dataValidation>
    <dataValidation sqref="AH9" showDropDown="0" showInputMessage="0" showErrorMessage="0" allowBlank="1" errorTitle="Invalid games pick" error="Enter 4, 5, 6, or 7." type="whole" operator="between">
      <formula1>4</formula1>
      <formula2>7</formula2>
    </dataValidation>
    <dataValidation sqref="AG10" showDropDown="0" showInputMessage="0" showErrorMessage="0" allowBlank="1" errorTitle="Invalid winner pick" error="Pick must be one of the two teams in that series." type="list">
      <formula1>=Bracket!$C$9:$D$9</formula1>
    </dataValidation>
    <dataValidation sqref="AH10" showDropDown="0" showInputMessage="0" showErrorMessage="0" allowBlank="1" errorTitle="Invalid games pick" error="Enter 4, 5, 6, or 7." type="whole" operator="between">
      <formula1>4</formula1>
      <formula2>7</formula2>
    </dataValidation>
    <dataValidation sqref="AG11" showDropDown="0" showInputMessage="0" showErrorMessage="0" allowBlank="1" errorTitle="Invalid winner pick" error="Pick must be one of the two teams in that series." type="list">
      <formula1>=Bracket!$C$10:$D$10</formula1>
    </dataValidation>
    <dataValidation sqref="AH11" showDropDown="0" showInputMessage="0" showErrorMessage="0" allowBlank="1" errorTitle="Invalid games pick" error="Enter 4, 5, 6, or 7." type="whole" operator="between">
      <formula1>4</formula1>
      <formula2>7</formula2>
    </dataValidation>
    <dataValidation sqref="AG12" showDropDown="0" showInputMessage="0" showErrorMessage="0" allowBlank="1" errorTitle="Invalid winner pick" error="Pick must be one of the two teams in that series." type="list">
      <formula1>=Bracket!$C$11:$D$11</formula1>
    </dataValidation>
    <dataValidation sqref="AH12" showDropDown="0" showInputMessage="0" showErrorMessage="0" allowBlank="1" errorTitle="Invalid games pick" error="Enter 4, 5, 6, or 7." type="whole" operator="between">
      <formula1>4</formula1>
      <formula2>7</formula2>
    </dataValidation>
    <dataValidation sqref="AG13" showDropDown="0" showInputMessage="0" showErrorMessage="0" allowBlank="1" errorTitle="Invalid winner pick" error="Pick must be one of the two teams in that series." type="list">
      <formula1>=Bracket!$C$12:$D$12</formula1>
    </dataValidation>
    <dataValidation sqref="AH13" showDropDown="0" showInputMessage="0" showErrorMessage="0" allowBlank="1" errorTitle="Invalid games pick" error="Enter 4, 5, 6, or 7." type="whole" operator="between">
      <formula1>4</formula1>
      <formula2>7</formula2>
    </dataValidation>
    <dataValidation sqref="AG14" showDropDown="0" showInputMessage="0" showErrorMessage="0" allowBlank="1" errorTitle="Invalid winner pick" error="Pick must be one of the two teams in that series." type="list">
      <formula1>=Bracket!$C$13:$D$13</formula1>
    </dataValidation>
    <dataValidation sqref="AH14" showDropDown="0" showInputMessage="0" showErrorMessage="0" allowBlank="1" errorTitle="Invalid games pick" error="Enter 4, 5, 6, or 7." type="whole" operator="between">
      <formula1>4</formula1>
      <formula2>7</formula2>
    </dataValidation>
    <dataValidation sqref="AG15" showDropDown="0" showInputMessage="0" showErrorMessage="0" allowBlank="1" errorTitle="Invalid winner pick" error="Pick must be one of the two teams in that series." type="list">
      <formula1>=Bracket!$C$14:$D$14</formula1>
    </dataValidation>
    <dataValidation sqref="AH15" showDropDown="0" showInputMessage="0" showErrorMessage="0" allowBlank="1" errorTitle="Invalid games pick" error="Enter 4, 5, 6, or 7." type="whole" operator="between">
      <formula1>4</formula1>
      <formula2>7</formula2>
    </dataValidation>
    <dataValidation sqref="AG16" showDropDown="0" showInputMessage="0" showErrorMessage="0" allowBlank="1" errorTitle="Invalid winner pick" error="Pick must be one of the two teams in that series." type="list">
      <formula1>=Bracket!$C$15:$D$15</formula1>
    </dataValidation>
    <dataValidation sqref="AH16" showDropDown="0" showInputMessage="0" showErrorMessage="0" allowBlank="1" errorTitle="Invalid games pick" error="Enter 4, 5, 6, or 7." type="whole" operator="between">
      <formula1>4</formula1>
      <formula2>7</formula2>
    </dataValidation>
    <dataValidation sqref="AG17" showDropDown="0" showInputMessage="0" showErrorMessage="0" allowBlank="1" errorTitle="Invalid winner pick" error="Pick must be one of the two teams in that series." type="list">
      <formula1>=Bracket!$C$16:$D$16</formula1>
    </dataValidation>
    <dataValidation sqref="AH17" showDropDown="0" showInputMessage="0" showErrorMessage="0" allowBlank="1" errorTitle="Invalid games pick" error="Enter 4, 5, 6, or 7." type="whole" operator="between">
      <formula1>4</formula1>
      <formula2>7</formula2>
    </dataValidation>
    <dataValidation sqref="AG18" showDropDown="0" showInputMessage="0" showErrorMessage="0" allowBlank="1" errorTitle="Invalid guess" error="Enter a non-negative integer." type="whole" operator="between">
      <formula1>0</formula1>
      <formula2>200</formula2>
    </dataValidation>
    <dataValidation sqref="AI3" showDropDown="0" showInputMessage="0" showErrorMessage="0" allowBlank="1" errorTitle="Invalid winner pick" error="Pick must be one of the two teams in that series." type="list">
      <formula1>=Bracket!$C$2:$D$2</formula1>
    </dataValidation>
    <dataValidation sqref="AJ3" showDropDown="0" showInputMessage="0" showErrorMessage="0" allowBlank="1" errorTitle="Invalid games pick" error="Enter 4, 5, 6, or 7." type="whole" operator="between">
      <formula1>4</formula1>
      <formula2>7</formula2>
    </dataValidation>
    <dataValidation sqref="AI4" showDropDown="0" showInputMessage="0" showErrorMessage="0" allowBlank="1" errorTitle="Invalid winner pick" error="Pick must be one of the two teams in that series." type="list">
      <formula1>=Bracket!$C$3:$D$3</formula1>
    </dataValidation>
    <dataValidation sqref="AJ4" showDropDown="0" showInputMessage="0" showErrorMessage="0" allowBlank="1" errorTitle="Invalid games pick" error="Enter 4, 5, 6, or 7." type="whole" operator="between">
      <formula1>4</formula1>
      <formula2>7</formula2>
    </dataValidation>
    <dataValidation sqref="AI5" showDropDown="0" showInputMessage="0" showErrorMessage="0" allowBlank="1" errorTitle="Invalid winner pick" error="Pick must be one of the two teams in that series." type="list">
      <formula1>=Bracket!$C$4:$D$4</formula1>
    </dataValidation>
    <dataValidation sqref="AJ5" showDropDown="0" showInputMessage="0" showErrorMessage="0" allowBlank="1" errorTitle="Invalid games pick" error="Enter 4, 5, 6, or 7." type="whole" operator="between">
      <formula1>4</formula1>
      <formula2>7</formula2>
    </dataValidation>
    <dataValidation sqref="AI6" showDropDown="0" showInputMessage="0" showErrorMessage="0" allowBlank="1" errorTitle="Invalid winner pick" error="Pick must be one of the two teams in that series." type="list">
      <formula1>=Bracket!$C$5:$D$5</formula1>
    </dataValidation>
    <dataValidation sqref="AJ6" showDropDown="0" showInputMessage="0" showErrorMessage="0" allowBlank="1" errorTitle="Invalid games pick" error="Enter 4, 5, 6, or 7." type="whole" operator="between">
      <formula1>4</formula1>
      <formula2>7</formula2>
    </dataValidation>
    <dataValidation sqref="AI7" showDropDown="0" showInputMessage="0" showErrorMessage="0" allowBlank="1" errorTitle="Invalid winner pick" error="Pick must be one of the two teams in that series." type="list">
      <formula1>=Bracket!$C$6:$D$6</formula1>
    </dataValidation>
    <dataValidation sqref="AJ7" showDropDown="0" showInputMessage="0" showErrorMessage="0" allowBlank="1" errorTitle="Invalid games pick" error="Enter 4, 5, 6, or 7." type="whole" operator="between">
      <formula1>4</formula1>
      <formula2>7</formula2>
    </dataValidation>
    <dataValidation sqref="AI8" showDropDown="0" showInputMessage="0" showErrorMessage="0" allowBlank="1" errorTitle="Invalid winner pick" error="Pick must be one of the two teams in that series." type="list">
      <formula1>=Bracket!$C$7:$D$7</formula1>
    </dataValidation>
    <dataValidation sqref="AJ8" showDropDown="0" showInputMessage="0" showErrorMessage="0" allowBlank="1" errorTitle="Invalid games pick" error="Enter 4, 5, 6, or 7." type="whole" operator="between">
      <formula1>4</formula1>
      <formula2>7</formula2>
    </dataValidation>
    <dataValidation sqref="AI9" showDropDown="0" showInputMessage="0" showErrorMessage="0" allowBlank="1" errorTitle="Invalid winner pick" error="Pick must be one of the two teams in that series." type="list">
      <formula1>=Bracket!$C$8:$D$8</formula1>
    </dataValidation>
    <dataValidation sqref="AJ9" showDropDown="0" showInputMessage="0" showErrorMessage="0" allowBlank="1" errorTitle="Invalid games pick" error="Enter 4, 5, 6, or 7." type="whole" operator="between">
      <formula1>4</formula1>
      <formula2>7</formula2>
    </dataValidation>
    <dataValidation sqref="AI10" showDropDown="0" showInputMessage="0" showErrorMessage="0" allowBlank="1" errorTitle="Invalid winner pick" error="Pick must be one of the two teams in that series." type="list">
      <formula1>=Bracket!$C$9:$D$9</formula1>
    </dataValidation>
    <dataValidation sqref="AJ10" showDropDown="0" showInputMessage="0" showErrorMessage="0" allowBlank="1" errorTitle="Invalid games pick" error="Enter 4, 5, 6, or 7." type="whole" operator="between">
      <formula1>4</formula1>
      <formula2>7</formula2>
    </dataValidation>
    <dataValidation sqref="AI11" showDropDown="0" showInputMessage="0" showErrorMessage="0" allowBlank="1" errorTitle="Invalid winner pick" error="Pick must be one of the two teams in that series." type="list">
      <formula1>=Bracket!$C$10:$D$10</formula1>
    </dataValidation>
    <dataValidation sqref="AJ11" showDropDown="0" showInputMessage="0" showErrorMessage="0" allowBlank="1" errorTitle="Invalid games pick" error="Enter 4, 5, 6, or 7." type="whole" operator="between">
      <formula1>4</formula1>
      <formula2>7</formula2>
    </dataValidation>
    <dataValidation sqref="AI12" showDropDown="0" showInputMessage="0" showErrorMessage="0" allowBlank="1" errorTitle="Invalid winner pick" error="Pick must be one of the two teams in that series." type="list">
      <formula1>=Bracket!$C$11:$D$11</formula1>
    </dataValidation>
    <dataValidation sqref="AJ12" showDropDown="0" showInputMessage="0" showErrorMessage="0" allowBlank="1" errorTitle="Invalid games pick" error="Enter 4, 5, 6, or 7." type="whole" operator="between">
      <formula1>4</formula1>
      <formula2>7</formula2>
    </dataValidation>
    <dataValidation sqref="AI13" showDropDown="0" showInputMessage="0" showErrorMessage="0" allowBlank="1" errorTitle="Invalid winner pick" error="Pick must be one of the two teams in that series." type="list">
      <formula1>=Bracket!$C$12:$D$12</formula1>
    </dataValidation>
    <dataValidation sqref="AJ13" showDropDown="0" showInputMessage="0" showErrorMessage="0" allowBlank="1" errorTitle="Invalid games pick" error="Enter 4, 5, 6, or 7." type="whole" operator="between">
      <formula1>4</formula1>
      <formula2>7</formula2>
    </dataValidation>
    <dataValidation sqref="AI14" showDropDown="0" showInputMessage="0" showErrorMessage="0" allowBlank="1" errorTitle="Invalid winner pick" error="Pick must be one of the two teams in that series." type="list">
      <formula1>=Bracket!$C$13:$D$13</formula1>
    </dataValidation>
    <dataValidation sqref="AJ14" showDropDown="0" showInputMessage="0" showErrorMessage="0" allowBlank="1" errorTitle="Invalid games pick" error="Enter 4, 5, 6, or 7." type="whole" operator="between">
      <formula1>4</formula1>
      <formula2>7</formula2>
    </dataValidation>
    <dataValidation sqref="AI15" showDropDown="0" showInputMessage="0" showErrorMessage="0" allowBlank="1" errorTitle="Invalid winner pick" error="Pick must be one of the two teams in that series." type="list">
      <formula1>=Bracket!$C$14:$D$14</formula1>
    </dataValidation>
    <dataValidation sqref="AJ15" showDropDown="0" showInputMessage="0" showErrorMessage="0" allowBlank="1" errorTitle="Invalid games pick" error="Enter 4, 5, 6, or 7." type="whole" operator="between">
      <formula1>4</formula1>
      <formula2>7</formula2>
    </dataValidation>
    <dataValidation sqref="AI16" showDropDown="0" showInputMessage="0" showErrorMessage="0" allowBlank="1" errorTitle="Invalid winner pick" error="Pick must be one of the two teams in that series." type="list">
      <formula1>=Bracket!$C$15:$D$15</formula1>
    </dataValidation>
    <dataValidation sqref="AJ16" showDropDown="0" showInputMessage="0" showErrorMessage="0" allowBlank="1" errorTitle="Invalid games pick" error="Enter 4, 5, 6, or 7." type="whole" operator="between">
      <formula1>4</formula1>
      <formula2>7</formula2>
    </dataValidation>
    <dataValidation sqref="AI17" showDropDown="0" showInputMessage="0" showErrorMessage="0" allowBlank="1" errorTitle="Invalid winner pick" error="Pick must be one of the two teams in that series." type="list">
      <formula1>=Bracket!$C$16:$D$16</formula1>
    </dataValidation>
    <dataValidation sqref="AJ17" showDropDown="0" showInputMessage="0" showErrorMessage="0" allowBlank="1" errorTitle="Invalid games pick" error="Enter 4, 5, 6, or 7." type="whole" operator="between">
      <formula1>4</formula1>
      <formula2>7</formula2>
    </dataValidation>
    <dataValidation sqref="AI18" showDropDown="0" showInputMessage="0" showErrorMessage="0" allowBlank="1" errorTitle="Invalid guess" error="Enter a non-negative integer." type="whole" operator="between">
      <formula1>0</formula1>
      <formula2>200</formula2>
    </dataValidation>
    <dataValidation sqref="AK3" showDropDown="0" showInputMessage="0" showErrorMessage="0" allowBlank="1" errorTitle="Invalid winner pick" error="Pick must be one of the two teams in that series." type="list">
      <formula1>=Bracket!$C$2:$D$2</formula1>
    </dataValidation>
    <dataValidation sqref="AL3" showDropDown="0" showInputMessage="0" showErrorMessage="0" allowBlank="1" errorTitle="Invalid games pick" error="Enter 4, 5, 6, or 7." type="whole" operator="between">
      <formula1>4</formula1>
      <formula2>7</formula2>
    </dataValidation>
    <dataValidation sqref="AK4" showDropDown="0" showInputMessage="0" showErrorMessage="0" allowBlank="1" errorTitle="Invalid winner pick" error="Pick must be one of the two teams in that series." type="list">
      <formula1>=Bracket!$C$3:$D$3</formula1>
    </dataValidation>
    <dataValidation sqref="AL4" showDropDown="0" showInputMessage="0" showErrorMessage="0" allowBlank="1" errorTitle="Invalid games pick" error="Enter 4, 5, 6, or 7." type="whole" operator="between">
      <formula1>4</formula1>
      <formula2>7</formula2>
    </dataValidation>
    <dataValidation sqref="AK5" showDropDown="0" showInputMessage="0" showErrorMessage="0" allowBlank="1" errorTitle="Invalid winner pick" error="Pick must be one of the two teams in that series." type="list">
      <formula1>=Bracket!$C$4:$D$4</formula1>
    </dataValidation>
    <dataValidation sqref="AL5" showDropDown="0" showInputMessage="0" showErrorMessage="0" allowBlank="1" errorTitle="Invalid games pick" error="Enter 4, 5, 6, or 7." type="whole" operator="between">
      <formula1>4</formula1>
      <formula2>7</formula2>
    </dataValidation>
    <dataValidation sqref="AK6" showDropDown="0" showInputMessage="0" showErrorMessage="0" allowBlank="1" errorTitle="Invalid winner pick" error="Pick must be one of the two teams in that series." type="list">
      <formula1>=Bracket!$C$5:$D$5</formula1>
    </dataValidation>
    <dataValidation sqref="AL6" showDropDown="0" showInputMessage="0" showErrorMessage="0" allowBlank="1" errorTitle="Invalid games pick" error="Enter 4, 5, 6, or 7." type="whole" operator="between">
      <formula1>4</formula1>
      <formula2>7</formula2>
    </dataValidation>
    <dataValidation sqref="AK7" showDropDown="0" showInputMessage="0" showErrorMessage="0" allowBlank="1" errorTitle="Invalid winner pick" error="Pick must be one of the two teams in that series." type="list">
      <formula1>=Bracket!$C$6:$D$6</formula1>
    </dataValidation>
    <dataValidation sqref="AL7" showDropDown="0" showInputMessage="0" showErrorMessage="0" allowBlank="1" errorTitle="Invalid games pick" error="Enter 4, 5, 6, or 7." type="whole" operator="between">
      <formula1>4</formula1>
      <formula2>7</formula2>
    </dataValidation>
    <dataValidation sqref="AK8" showDropDown="0" showInputMessage="0" showErrorMessage="0" allowBlank="1" errorTitle="Invalid winner pick" error="Pick must be one of the two teams in that series." type="list">
      <formula1>=Bracket!$C$7:$D$7</formula1>
    </dataValidation>
    <dataValidation sqref="AL8" showDropDown="0" showInputMessage="0" showErrorMessage="0" allowBlank="1" errorTitle="Invalid games pick" error="Enter 4, 5, 6, or 7." type="whole" operator="between">
      <formula1>4</formula1>
      <formula2>7</formula2>
    </dataValidation>
    <dataValidation sqref="AK9" showDropDown="0" showInputMessage="0" showErrorMessage="0" allowBlank="1" errorTitle="Invalid winner pick" error="Pick must be one of the two teams in that series." type="list">
      <formula1>=Bracket!$C$8:$D$8</formula1>
    </dataValidation>
    <dataValidation sqref="AL9" showDropDown="0" showInputMessage="0" showErrorMessage="0" allowBlank="1" errorTitle="Invalid games pick" error="Enter 4, 5, 6, or 7." type="whole" operator="between">
      <formula1>4</formula1>
      <formula2>7</formula2>
    </dataValidation>
    <dataValidation sqref="AK10" showDropDown="0" showInputMessage="0" showErrorMessage="0" allowBlank="1" errorTitle="Invalid winner pick" error="Pick must be one of the two teams in that series." type="list">
      <formula1>=Bracket!$C$9:$D$9</formula1>
    </dataValidation>
    <dataValidation sqref="AL10" showDropDown="0" showInputMessage="0" showErrorMessage="0" allowBlank="1" errorTitle="Invalid games pick" error="Enter 4, 5, 6, or 7." type="whole" operator="between">
      <formula1>4</formula1>
      <formula2>7</formula2>
    </dataValidation>
    <dataValidation sqref="AK11" showDropDown="0" showInputMessage="0" showErrorMessage="0" allowBlank="1" errorTitle="Invalid winner pick" error="Pick must be one of the two teams in that series." type="list">
      <formula1>=Bracket!$C$10:$D$10</formula1>
    </dataValidation>
    <dataValidation sqref="AL11" showDropDown="0" showInputMessage="0" showErrorMessage="0" allowBlank="1" errorTitle="Invalid games pick" error="Enter 4, 5, 6, or 7." type="whole" operator="between">
      <formula1>4</formula1>
      <formula2>7</formula2>
    </dataValidation>
    <dataValidation sqref="AK12" showDropDown="0" showInputMessage="0" showErrorMessage="0" allowBlank="1" errorTitle="Invalid winner pick" error="Pick must be one of the two teams in that series." type="list">
      <formula1>=Bracket!$C$11:$D$11</formula1>
    </dataValidation>
    <dataValidation sqref="AL12" showDropDown="0" showInputMessage="0" showErrorMessage="0" allowBlank="1" errorTitle="Invalid games pick" error="Enter 4, 5, 6, or 7." type="whole" operator="between">
      <formula1>4</formula1>
      <formula2>7</formula2>
    </dataValidation>
    <dataValidation sqref="AK13" showDropDown="0" showInputMessage="0" showErrorMessage="0" allowBlank="1" errorTitle="Invalid winner pick" error="Pick must be one of the two teams in that series." type="list">
      <formula1>=Bracket!$C$12:$D$12</formula1>
    </dataValidation>
    <dataValidation sqref="AL13" showDropDown="0" showInputMessage="0" showErrorMessage="0" allowBlank="1" errorTitle="Invalid games pick" error="Enter 4, 5, 6, or 7." type="whole" operator="between">
      <formula1>4</formula1>
      <formula2>7</formula2>
    </dataValidation>
    <dataValidation sqref="AK14" showDropDown="0" showInputMessage="0" showErrorMessage="0" allowBlank="1" errorTitle="Invalid winner pick" error="Pick must be one of the two teams in that series." type="list">
      <formula1>=Bracket!$C$13:$D$13</formula1>
    </dataValidation>
    <dataValidation sqref="AL14" showDropDown="0" showInputMessage="0" showErrorMessage="0" allowBlank="1" errorTitle="Invalid games pick" error="Enter 4, 5, 6, or 7." type="whole" operator="between">
      <formula1>4</formula1>
      <formula2>7</formula2>
    </dataValidation>
    <dataValidation sqref="AK15" showDropDown="0" showInputMessage="0" showErrorMessage="0" allowBlank="1" errorTitle="Invalid winner pick" error="Pick must be one of the two teams in that series." type="list">
      <formula1>=Bracket!$C$14:$D$14</formula1>
    </dataValidation>
    <dataValidation sqref="AL15" showDropDown="0" showInputMessage="0" showErrorMessage="0" allowBlank="1" errorTitle="Invalid games pick" error="Enter 4, 5, 6, or 7." type="whole" operator="between">
      <formula1>4</formula1>
      <formula2>7</formula2>
    </dataValidation>
    <dataValidation sqref="AK16" showDropDown="0" showInputMessage="0" showErrorMessage="0" allowBlank="1" errorTitle="Invalid winner pick" error="Pick must be one of the two teams in that series." type="list">
      <formula1>=Bracket!$C$15:$D$15</formula1>
    </dataValidation>
    <dataValidation sqref="AL16" showDropDown="0" showInputMessage="0" showErrorMessage="0" allowBlank="1" errorTitle="Invalid games pick" error="Enter 4, 5, 6, or 7." type="whole" operator="between">
      <formula1>4</formula1>
      <formula2>7</formula2>
    </dataValidation>
    <dataValidation sqref="AK17" showDropDown="0" showInputMessage="0" showErrorMessage="0" allowBlank="1" errorTitle="Invalid winner pick" error="Pick must be one of the two teams in that series." type="list">
      <formula1>=Bracket!$C$16:$D$16</formula1>
    </dataValidation>
    <dataValidation sqref="AL17" showDropDown="0" showInputMessage="0" showErrorMessage="0" allowBlank="1" errorTitle="Invalid games pick" error="Enter 4, 5, 6, or 7." type="whole" operator="between">
      <formula1>4</formula1>
      <formula2>7</formula2>
    </dataValidation>
    <dataValidation sqref="AK18" showDropDown="0" showInputMessage="0" showErrorMessage="0" allowBlank="1" errorTitle="Invalid guess" error="Enter a non-negative integer." type="whole" operator="between">
      <formula1>0</formula1>
      <formula2>200</formula2>
    </dataValidation>
    <dataValidation sqref="AM3" showDropDown="0" showInputMessage="0" showErrorMessage="0" allowBlank="1" errorTitle="Invalid winner pick" error="Pick must be one of the two teams in that series." type="list">
      <formula1>=Bracket!$C$2:$D$2</formula1>
    </dataValidation>
    <dataValidation sqref="AN3" showDropDown="0" showInputMessage="0" showErrorMessage="0" allowBlank="1" errorTitle="Invalid games pick" error="Enter 4, 5, 6, or 7." type="whole" operator="between">
      <formula1>4</formula1>
      <formula2>7</formula2>
    </dataValidation>
    <dataValidation sqref="AM4" showDropDown="0" showInputMessage="0" showErrorMessage="0" allowBlank="1" errorTitle="Invalid winner pick" error="Pick must be one of the two teams in that series." type="list">
      <formula1>=Bracket!$C$3:$D$3</formula1>
    </dataValidation>
    <dataValidation sqref="AN4" showDropDown="0" showInputMessage="0" showErrorMessage="0" allowBlank="1" errorTitle="Invalid games pick" error="Enter 4, 5, 6, or 7." type="whole" operator="between">
      <formula1>4</formula1>
      <formula2>7</formula2>
    </dataValidation>
    <dataValidation sqref="AM5" showDropDown="0" showInputMessage="0" showErrorMessage="0" allowBlank="1" errorTitle="Invalid winner pick" error="Pick must be one of the two teams in that series." type="list">
      <formula1>=Bracket!$C$4:$D$4</formula1>
    </dataValidation>
    <dataValidation sqref="AN5" showDropDown="0" showInputMessage="0" showErrorMessage="0" allowBlank="1" errorTitle="Invalid games pick" error="Enter 4, 5, 6, or 7." type="whole" operator="between">
      <formula1>4</formula1>
      <formula2>7</formula2>
    </dataValidation>
    <dataValidation sqref="AM6" showDropDown="0" showInputMessage="0" showErrorMessage="0" allowBlank="1" errorTitle="Invalid winner pick" error="Pick must be one of the two teams in that series." type="list">
      <formula1>=Bracket!$C$5:$D$5</formula1>
    </dataValidation>
    <dataValidation sqref="AN6" showDropDown="0" showInputMessage="0" showErrorMessage="0" allowBlank="1" errorTitle="Invalid games pick" error="Enter 4, 5, 6, or 7." type="whole" operator="between">
      <formula1>4</formula1>
      <formula2>7</formula2>
    </dataValidation>
    <dataValidation sqref="AM7" showDropDown="0" showInputMessage="0" showErrorMessage="0" allowBlank="1" errorTitle="Invalid winner pick" error="Pick must be one of the two teams in that series." type="list">
      <formula1>=Bracket!$C$6:$D$6</formula1>
    </dataValidation>
    <dataValidation sqref="AN7" showDropDown="0" showInputMessage="0" showErrorMessage="0" allowBlank="1" errorTitle="Invalid games pick" error="Enter 4, 5, 6, or 7." type="whole" operator="between">
      <formula1>4</formula1>
      <formula2>7</formula2>
    </dataValidation>
    <dataValidation sqref="AM8" showDropDown="0" showInputMessage="0" showErrorMessage="0" allowBlank="1" errorTitle="Invalid winner pick" error="Pick must be one of the two teams in that series." type="list">
      <formula1>=Bracket!$C$7:$D$7</formula1>
    </dataValidation>
    <dataValidation sqref="AN8" showDropDown="0" showInputMessage="0" showErrorMessage="0" allowBlank="1" errorTitle="Invalid games pick" error="Enter 4, 5, 6, or 7." type="whole" operator="between">
      <formula1>4</formula1>
      <formula2>7</formula2>
    </dataValidation>
    <dataValidation sqref="AM9" showDropDown="0" showInputMessage="0" showErrorMessage="0" allowBlank="1" errorTitle="Invalid winner pick" error="Pick must be one of the two teams in that series." type="list">
      <formula1>=Bracket!$C$8:$D$8</formula1>
    </dataValidation>
    <dataValidation sqref="AN9" showDropDown="0" showInputMessage="0" showErrorMessage="0" allowBlank="1" errorTitle="Invalid games pick" error="Enter 4, 5, 6, or 7." type="whole" operator="between">
      <formula1>4</formula1>
      <formula2>7</formula2>
    </dataValidation>
    <dataValidation sqref="AM10" showDropDown="0" showInputMessage="0" showErrorMessage="0" allowBlank="1" errorTitle="Invalid winner pick" error="Pick must be one of the two teams in that series." type="list">
      <formula1>=Bracket!$C$9:$D$9</formula1>
    </dataValidation>
    <dataValidation sqref="AN10" showDropDown="0" showInputMessage="0" showErrorMessage="0" allowBlank="1" errorTitle="Invalid games pick" error="Enter 4, 5, 6, or 7." type="whole" operator="between">
      <formula1>4</formula1>
      <formula2>7</formula2>
    </dataValidation>
    <dataValidation sqref="AM11" showDropDown="0" showInputMessage="0" showErrorMessage="0" allowBlank="1" errorTitle="Invalid winner pick" error="Pick must be one of the two teams in that series." type="list">
      <formula1>=Bracket!$C$10:$D$10</formula1>
    </dataValidation>
    <dataValidation sqref="AN11" showDropDown="0" showInputMessage="0" showErrorMessage="0" allowBlank="1" errorTitle="Invalid games pick" error="Enter 4, 5, 6, or 7." type="whole" operator="between">
      <formula1>4</formula1>
      <formula2>7</formula2>
    </dataValidation>
    <dataValidation sqref="AM12" showDropDown="0" showInputMessage="0" showErrorMessage="0" allowBlank="1" errorTitle="Invalid winner pick" error="Pick must be one of the two teams in that series." type="list">
      <formula1>=Bracket!$C$11:$D$11</formula1>
    </dataValidation>
    <dataValidation sqref="AN12" showDropDown="0" showInputMessage="0" showErrorMessage="0" allowBlank="1" errorTitle="Invalid games pick" error="Enter 4, 5, 6, or 7." type="whole" operator="between">
      <formula1>4</formula1>
      <formula2>7</formula2>
    </dataValidation>
    <dataValidation sqref="AM13" showDropDown="0" showInputMessage="0" showErrorMessage="0" allowBlank="1" errorTitle="Invalid winner pick" error="Pick must be one of the two teams in that series." type="list">
      <formula1>=Bracket!$C$12:$D$12</formula1>
    </dataValidation>
    <dataValidation sqref="AN13" showDropDown="0" showInputMessage="0" showErrorMessage="0" allowBlank="1" errorTitle="Invalid games pick" error="Enter 4, 5, 6, or 7." type="whole" operator="between">
      <formula1>4</formula1>
      <formula2>7</formula2>
    </dataValidation>
    <dataValidation sqref="AM14" showDropDown="0" showInputMessage="0" showErrorMessage="0" allowBlank="1" errorTitle="Invalid winner pick" error="Pick must be one of the two teams in that series." type="list">
      <formula1>=Bracket!$C$13:$D$13</formula1>
    </dataValidation>
    <dataValidation sqref="AN14" showDropDown="0" showInputMessage="0" showErrorMessage="0" allowBlank="1" errorTitle="Invalid games pick" error="Enter 4, 5, 6, or 7." type="whole" operator="between">
      <formula1>4</formula1>
      <formula2>7</formula2>
    </dataValidation>
    <dataValidation sqref="AM15" showDropDown="0" showInputMessage="0" showErrorMessage="0" allowBlank="1" errorTitle="Invalid winner pick" error="Pick must be one of the two teams in that series." type="list">
      <formula1>=Bracket!$C$14:$D$14</formula1>
    </dataValidation>
    <dataValidation sqref="AN15" showDropDown="0" showInputMessage="0" showErrorMessage="0" allowBlank="1" errorTitle="Invalid games pick" error="Enter 4, 5, 6, or 7." type="whole" operator="between">
      <formula1>4</formula1>
      <formula2>7</formula2>
    </dataValidation>
    <dataValidation sqref="AM16" showDropDown="0" showInputMessage="0" showErrorMessage="0" allowBlank="1" errorTitle="Invalid winner pick" error="Pick must be one of the two teams in that series." type="list">
      <formula1>=Bracket!$C$15:$D$15</formula1>
    </dataValidation>
    <dataValidation sqref="AN16" showDropDown="0" showInputMessage="0" showErrorMessage="0" allowBlank="1" errorTitle="Invalid games pick" error="Enter 4, 5, 6, or 7." type="whole" operator="between">
      <formula1>4</formula1>
      <formula2>7</formula2>
    </dataValidation>
    <dataValidation sqref="AM17" showDropDown="0" showInputMessage="0" showErrorMessage="0" allowBlank="1" errorTitle="Invalid winner pick" error="Pick must be one of the two teams in that series." type="list">
      <formula1>=Bracket!$C$16:$D$16</formula1>
    </dataValidation>
    <dataValidation sqref="AN17" showDropDown="0" showInputMessage="0" showErrorMessage="0" allowBlank="1" errorTitle="Invalid games pick" error="Enter 4, 5, 6, or 7." type="whole" operator="between">
      <formula1>4</formula1>
      <formula2>7</formula2>
    </dataValidation>
    <dataValidation sqref="AM18" showDropDown="0" showInputMessage="0" showErrorMessage="0" allowBlank="1" errorTitle="Invalid guess" error="Enter a non-negative integer." type="whole" operator="between">
      <formula1>0</formula1>
      <formula2>200</formula2>
    </dataValidation>
    <dataValidation sqref="AO3" showDropDown="0" showInputMessage="0" showErrorMessage="0" allowBlank="1" errorTitle="Invalid winner pick" error="Pick must be one of the two teams in that series." type="list">
      <formula1>=Bracket!$C$2:$D$2</formula1>
    </dataValidation>
    <dataValidation sqref="AP3" showDropDown="0" showInputMessage="0" showErrorMessage="0" allowBlank="1" errorTitle="Invalid games pick" error="Enter 4, 5, 6, or 7." type="whole" operator="between">
      <formula1>4</formula1>
      <formula2>7</formula2>
    </dataValidation>
    <dataValidation sqref="AO4" showDropDown="0" showInputMessage="0" showErrorMessage="0" allowBlank="1" errorTitle="Invalid winner pick" error="Pick must be one of the two teams in that series." type="list">
      <formula1>=Bracket!$C$3:$D$3</formula1>
    </dataValidation>
    <dataValidation sqref="AP4" showDropDown="0" showInputMessage="0" showErrorMessage="0" allowBlank="1" errorTitle="Invalid games pick" error="Enter 4, 5, 6, or 7." type="whole" operator="between">
      <formula1>4</formula1>
      <formula2>7</formula2>
    </dataValidation>
    <dataValidation sqref="AO5" showDropDown="0" showInputMessage="0" showErrorMessage="0" allowBlank="1" errorTitle="Invalid winner pick" error="Pick must be one of the two teams in that series." type="list">
      <formula1>=Bracket!$C$4:$D$4</formula1>
    </dataValidation>
    <dataValidation sqref="AP5" showDropDown="0" showInputMessage="0" showErrorMessage="0" allowBlank="1" errorTitle="Invalid games pick" error="Enter 4, 5, 6, or 7." type="whole" operator="between">
      <formula1>4</formula1>
      <formula2>7</formula2>
    </dataValidation>
    <dataValidation sqref="AO6" showDropDown="0" showInputMessage="0" showErrorMessage="0" allowBlank="1" errorTitle="Invalid winner pick" error="Pick must be one of the two teams in that series." type="list">
      <formula1>=Bracket!$C$5:$D$5</formula1>
    </dataValidation>
    <dataValidation sqref="AP6" showDropDown="0" showInputMessage="0" showErrorMessage="0" allowBlank="1" errorTitle="Invalid games pick" error="Enter 4, 5, 6, or 7." type="whole" operator="between">
      <formula1>4</formula1>
      <formula2>7</formula2>
    </dataValidation>
    <dataValidation sqref="AO7" showDropDown="0" showInputMessage="0" showErrorMessage="0" allowBlank="1" errorTitle="Invalid winner pick" error="Pick must be one of the two teams in that series." type="list">
      <formula1>=Bracket!$C$6:$D$6</formula1>
    </dataValidation>
    <dataValidation sqref="AP7" showDropDown="0" showInputMessage="0" showErrorMessage="0" allowBlank="1" errorTitle="Invalid games pick" error="Enter 4, 5, 6, or 7." type="whole" operator="between">
      <formula1>4</formula1>
      <formula2>7</formula2>
    </dataValidation>
    <dataValidation sqref="AO8" showDropDown="0" showInputMessage="0" showErrorMessage="0" allowBlank="1" errorTitle="Invalid winner pick" error="Pick must be one of the two teams in that series." type="list">
      <formula1>=Bracket!$C$7:$D$7</formula1>
    </dataValidation>
    <dataValidation sqref="AP8" showDropDown="0" showInputMessage="0" showErrorMessage="0" allowBlank="1" errorTitle="Invalid games pick" error="Enter 4, 5, 6, or 7." type="whole" operator="between">
      <formula1>4</formula1>
      <formula2>7</formula2>
    </dataValidation>
    <dataValidation sqref="AO9" showDropDown="0" showInputMessage="0" showErrorMessage="0" allowBlank="1" errorTitle="Invalid winner pick" error="Pick must be one of the two teams in that series." type="list">
      <formula1>=Bracket!$C$8:$D$8</formula1>
    </dataValidation>
    <dataValidation sqref="AP9" showDropDown="0" showInputMessage="0" showErrorMessage="0" allowBlank="1" errorTitle="Invalid games pick" error="Enter 4, 5, 6, or 7." type="whole" operator="between">
      <formula1>4</formula1>
      <formula2>7</formula2>
    </dataValidation>
    <dataValidation sqref="AO10" showDropDown="0" showInputMessage="0" showErrorMessage="0" allowBlank="1" errorTitle="Invalid winner pick" error="Pick must be one of the two teams in that series." type="list">
      <formula1>=Bracket!$C$9:$D$9</formula1>
    </dataValidation>
    <dataValidation sqref="AP10" showDropDown="0" showInputMessage="0" showErrorMessage="0" allowBlank="1" errorTitle="Invalid games pick" error="Enter 4, 5, 6, or 7." type="whole" operator="between">
      <formula1>4</formula1>
      <formula2>7</formula2>
    </dataValidation>
    <dataValidation sqref="AO11" showDropDown="0" showInputMessage="0" showErrorMessage="0" allowBlank="1" errorTitle="Invalid winner pick" error="Pick must be one of the two teams in that series." type="list">
      <formula1>=Bracket!$C$10:$D$10</formula1>
    </dataValidation>
    <dataValidation sqref="AP11" showDropDown="0" showInputMessage="0" showErrorMessage="0" allowBlank="1" errorTitle="Invalid games pick" error="Enter 4, 5, 6, or 7." type="whole" operator="between">
      <formula1>4</formula1>
      <formula2>7</formula2>
    </dataValidation>
    <dataValidation sqref="AO12" showDropDown="0" showInputMessage="0" showErrorMessage="0" allowBlank="1" errorTitle="Invalid winner pick" error="Pick must be one of the two teams in that series." type="list">
      <formula1>=Bracket!$C$11:$D$11</formula1>
    </dataValidation>
    <dataValidation sqref="AP12" showDropDown="0" showInputMessage="0" showErrorMessage="0" allowBlank="1" errorTitle="Invalid games pick" error="Enter 4, 5, 6, or 7." type="whole" operator="between">
      <formula1>4</formula1>
      <formula2>7</formula2>
    </dataValidation>
    <dataValidation sqref="AO13" showDropDown="0" showInputMessage="0" showErrorMessage="0" allowBlank="1" errorTitle="Invalid winner pick" error="Pick must be one of the two teams in that series." type="list">
      <formula1>=Bracket!$C$12:$D$12</formula1>
    </dataValidation>
    <dataValidation sqref="AP13" showDropDown="0" showInputMessage="0" showErrorMessage="0" allowBlank="1" errorTitle="Invalid games pick" error="Enter 4, 5, 6, or 7." type="whole" operator="between">
      <formula1>4</formula1>
      <formula2>7</formula2>
    </dataValidation>
    <dataValidation sqref="AO14" showDropDown="0" showInputMessage="0" showErrorMessage="0" allowBlank="1" errorTitle="Invalid winner pick" error="Pick must be one of the two teams in that series." type="list">
      <formula1>=Bracket!$C$13:$D$13</formula1>
    </dataValidation>
    <dataValidation sqref="AP14" showDropDown="0" showInputMessage="0" showErrorMessage="0" allowBlank="1" errorTitle="Invalid games pick" error="Enter 4, 5, 6, or 7." type="whole" operator="between">
      <formula1>4</formula1>
      <formula2>7</formula2>
    </dataValidation>
    <dataValidation sqref="AO15" showDropDown="0" showInputMessage="0" showErrorMessage="0" allowBlank="1" errorTitle="Invalid winner pick" error="Pick must be one of the two teams in that series." type="list">
      <formula1>=Bracket!$C$14:$D$14</formula1>
    </dataValidation>
    <dataValidation sqref="AP15" showDropDown="0" showInputMessage="0" showErrorMessage="0" allowBlank="1" errorTitle="Invalid games pick" error="Enter 4, 5, 6, or 7." type="whole" operator="between">
      <formula1>4</formula1>
      <formula2>7</formula2>
    </dataValidation>
    <dataValidation sqref="AO16" showDropDown="0" showInputMessage="0" showErrorMessage="0" allowBlank="1" errorTitle="Invalid winner pick" error="Pick must be one of the two teams in that series." type="list">
      <formula1>=Bracket!$C$15:$D$15</formula1>
    </dataValidation>
    <dataValidation sqref="AP16" showDropDown="0" showInputMessage="0" showErrorMessage="0" allowBlank="1" errorTitle="Invalid games pick" error="Enter 4, 5, 6, or 7." type="whole" operator="between">
      <formula1>4</formula1>
      <formula2>7</formula2>
    </dataValidation>
    <dataValidation sqref="AO17" showDropDown="0" showInputMessage="0" showErrorMessage="0" allowBlank="1" errorTitle="Invalid winner pick" error="Pick must be one of the two teams in that series." type="list">
      <formula1>=Bracket!$C$16:$D$16</formula1>
    </dataValidation>
    <dataValidation sqref="AP17" showDropDown="0" showInputMessage="0" showErrorMessage="0" allowBlank="1" errorTitle="Invalid games pick" error="Enter 4, 5, 6, or 7." type="whole" operator="between">
      <formula1>4</formula1>
      <formula2>7</formula2>
    </dataValidation>
    <dataValidation sqref="AO18" showDropDown="0" showInputMessage="0" showErrorMessage="0" allowBlank="1" errorTitle="Invalid guess" error="Enter a non-negative integer." type="whole" operator="between">
      <formula1>0</formula1>
      <formula2>200</formula2>
    </dataValidation>
    <dataValidation sqref="AQ3" showDropDown="0" showInputMessage="0" showErrorMessage="0" allowBlank="1" errorTitle="Invalid winner pick" error="Pick must be one of the two teams in that series." type="list">
      <formula1>=Bracket!$C$2:$D$2</formula1>
    </dataValidation>
    <dataValidation sqref="AR3" showDropDown="0" showInputMessage="0" showErrorMessage="0" allowBlank="1" errorTitle="Invalid games pick" error="Enter 4, 5, 6, or 7." type="whole" operator="between">
      <formula1>4</formula1>
      <formula2>7</formula2>
    </dataValidation>
    <dataValidation sqref="AQ4" showDropDown="0" showInputMessage="0" showErrorMessage="0" allowBlank="1" errorTitle="Invalid winner pick" error="Pick must be one of the two teams in that series." type="list">
      <formula1>=Bracket!$C$3:$D$3</formula1>
    </dataValidation>
    <dataValidation sqref="AR4" showDropDown="0" showInputMessage="0" showErrorMessage="0" allowBlank="1" errorTitle="Invalid games pick" error="Enter 4, 5, 6, or 7." type="whole" operator="between">
      <formula1>4</formula1>
      <formula2>7</formula2>
    </dataValidation>
    <dataValidation sqref="AQ5" showDropDown="0" showInputMessage="0" showErrorMessage="0" allowBlank="1" errorTitle="Invalid winner pick" error="Pick must be one of the two teams in that series." type="list">
      <formula1>=Bracket!$C$4:$D$4</formula1>
    </dataValidation>
    <dataValidation sqref="AR5" showDropDown="0" showInputMessage="0" showErrorMessage="0" allowBlank="1" errorTitle="Invalid games pick" error="Enter 4, 5, 6, or 7." type="whole" operator="between">
      <formula1>4</formula1>
      <formula2>7</formula2>
    </dataValidation>
    <dataValidation sqref="AQ6" showDropDown="0" showInputMessage="0" showErrorMessage="0" allowBlank="1" errorTitle="Invalid winner pick" error="Pick must be one of the two teams in that series." type="list">
      <formula1>=Bracket!$C$5:$D$5</formula1>
    </dataValidation>
    <dataValidation sqref="AR6" showDropDown="0" showInputMessage="0" showErrorMessage="0" allowBlank="1" errorTitle="Invalid games pick" error="Enter 4, 5, 6, or 7." type="whole" operator="between">
      <formula1>4</formula1>
      <formula2>7</formula2>
    </dataValidation>
    <dataValidation sqref="AQ7" showDropDown="0" showInputMessage="0" showErrorMessage="0" allowBlank="1" errorTitle="Invalid winner pick" error="Pick must be one of the two teams in that series." type="list">
      <formula1>=Bracket!$C$6:$D$6</formula1>
    </dataValidation>
    <dataValidation sqref="AR7" showDropDown="0" showInputMessage="0" showErrorMessage="0" allowBlank="1" errorTitle="Invalid games pick" error="Enter 4, 5, 6, or 7." type="whole" operator="between">
      <formula1>4</formula1>
      <formula2>7</formula2>
    </dataValidation>
    <dataValidation sqref="AQ8" showDropDown="0" showInputMessage="0" showErrorMessage="0" allowBlank="1" errorTitle="Invalid winner pick" error="Pick must be one of the two teams in that series." type="list">
      <formula1>=Bracket!$C$7:$D$7</formula1>
    </dataValidation>
    <dataValidation sqref="AR8" showDropDown="0" showInputMessage="0" showErrorMessage="0" allowBlank="1" errorTitle="Invalid games pick" error="Enter 4, 5, 6, or 7." type="whole" operator="between">
      <formula1>4</formula1>
      <formula2>7</formula2>
    </dataValidation>
    <dataValidation sqref="AQ9" showDropDown="0" showInputMessage="0" showErrorMessage="0" allowBlank="1" errorTitle="Invalid winner pick" error="Pick must be one of the two teams in that series." type="list">
      <formula1>=Bracket!$C$8:$D$8</formula1>
    </dataValidation>
    <dataValidation sqref="AR9" showDropDown="0" showInputMessage="0" showErrorMessage="0" allowBlank="1" errorTitle="Invalid games pick" error="Enter 4, 5, 6, or 7." type="whole" operator="between">
      <formula1>4</formula1>
      <formula2>7</formula2>
    </dataValidation>
    <dataValidation sqref="AQ10" showDropDown="0" showInputMessage="0" showErrorMessage="0" allowBlank="1" errorTitle="Invalid winner pick" error="Pick must be one of the two teams in that series." type="list">
      <formula1>=Bracket!$C$9:$D$9</formula1>
    </dataValidation>
    <dataValidation sqref="AR10" showDropDown="0" showInputMessage="0" showErrorMessage="0" allowBlank="1" errorTitle="Invalid games pick" error="Enter 4, 5, 6, or 7." type="whole" operator="between">
      <formula1>4</formula1>
      <formula2>7</formula2>
    </dataValidation>
    <dataValidation sqref="AQ11" showDropDown="0" showInputMessage="0" showErrorMessage="0" allowBlank="1" errorTitle="Invalid winner pick" error="Pick must be one of the two teams in that series." type="list">
      <formula1>=Bracket!$C$10:$D$10</formula1>
    </dataValidation>
    <dataValidation sqref="AR11" showDropDown="0" showInputMessage="0" showErrorMessage="0" allowBlank="1" errorTitle="Invalid games pick" error="Enter 4, 5, 6, or 7." type="whole" operator="between">
      <formula1>4</formula1>
      <formula2>7</formula2>
    </dataValidation>
    <dataValidation sqref="AQ12" showDropDown="0" showInputMessage="0" showErrorMessage="0" allowBlank="1" errorTitle="Invalid winner pick" error="Pick must be one of the two teams in that series." type="list">
      <formula1>=Bracket!$C$11:$D$11</formula1>
    </dataValidation>
    <dataValidation sqref="AR12" showDropDown="0" showInputMessage="0" showErrorMessage="0" allowBlank="1" errorTitle="Invalid games pick" error="Enter 4, 5, 6, or 7." type="whole" operator="between">
      <formula1>4</formula1>
      <formula2>7</formula2>
    </dataValidation>
    <dataValidation sqref="AQ13" showDropDown="0" showInputMessage="0" showErrorMessage="0" allowBlank="1" errorTitle="Invalid winner pick" error="Pick must be one of the two teams in that series." type="list">
      <formula1>=Bracket!$C$12:$D$12</formula1>
    </dataValidation>
    <dataValidation sqref="AR13" showDropDown="0" showInputMessage="0" showErrorMessage="0" allowBlank="1" errorTitle="Invalid games pick" error="Enter 4, 5, 6, or 7." type="whole" operator="between">
      <formula1>4</formula1>
      <formula2>7</formula2>
    </dataValidation>
    <dataValidation sqref="AQ14" showDropDown="0" showInputMessage="0" showErrorMessage="0" allowBlank="1" errorTitle="Invalid winner pick" error="Pick must be one of the two teams in that series." type="list">
      <formula1>=Bracket!$C$13:$D$13</formula1>
    </dataValidation>
    <dataValidation sqref="AR14" showDropDown="0" showInputMessage="0" showErrorMessage="0" allowBlank="1" errorTitle="Invalid games pick" error="Enter 4, 5, 6, or 7." type="whole" operator="between">
      <formula1>4</formula1>
      <formula2>7</formula2>
    </dataValidation>
    <dataValidation sqref="AQ15" showDropDown="0" showInputMessage="0" showErrorMessage="0" allowBlank="1" errorTitle="Invalid winner pick" error="Pick must be one of the two teams in that series." type="list">
      <formula1>=Bracket!$C$14:$D$14</formula1>
    </dataValidation>
    <dataValidation sqref="AR15" showDropDown="0" showInputMessage="0" showErrorMessage="0" allowBlank="1" errorTitle="Invalid games pick" error="Enter 4, 5, 6, or 7." type="whole" operator="between">
      <formula1>4</formula1>
      <formula2>7</formula2>
    </dataValidation>
    <dataValidation sqref="AQ16" showDropDown="0" showInputMessage="0" showErrorMessage="0" allowBlank="1" errorTitle="Invalid winner pick" error="Pick must be one of the two teams in that series." type="list">
      <formula1>=Bracket!$C$15:$D$15</formula1>
    </dataValidation>
    <dataValidation sqref="AR16" showDropDown="0" showInputMessage="0" showErrorMessage="0" allowBlank="1" errorTitle="Invalid games pick" error="Enter 4, 5, 6, or 7." type="whole" operator="between">
      <formula1>4</formula1>
      <formula2>7</formula2>
    </dataValidation>
    <dataValidation sqref="AQ17" showDropDown="0" showInputMessage="0" showErrorMessage="0" allowBlank="1" errorTitle="Invalid winner pick" error="Pick must be one of the two teams in that series." type="list">
      <formula1>=Bracket!$C$16:$D$16</formula1>
    </dataValidation>
    <dataValidation sqref="AR17" showDropDown="0" showInputMessage="0" showErrorMessage="0" allowBlank="1" errorTitle="Invalid games pick" error="Enter 4, 5, 6, or 7." type="whole" operator="between">
      <formula1>4</formula1>
      <formula2>7</formula2>
    </dataValidation>
    <dataValidation sqref="AQ18" showDropDown="0" showInputMessage="0" showErrorMessage="0" allowBlank="1" errorTitle="Invalid guess" error="Enter a non-negative integer." type="whole" operator="between">
      <formula1>0</formula1>
      <formula2>200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s="4" t="inlineStr">
        <is>
          <t>Series scoring</t>
        </is>
      </c>
      <c r="E1" s="4">
        <f>Picks!E1</f>
        <v/>
      </c>
      <c r="F1" s="4">
        <f>Picks!G1</f>
        <v/>
      </c>
      <c r="G1" s="4">
        <f>Picks!I1</f>
        <v/>
      </c>
      <c r="H1" s="4">
        <f>Picks!K1</f>
        <v/>
      </c>
      <c r="I1" s="4">
        <f>Picks!M1</f>
        <v/>
      </c>
      <c r="J1" s="4">
        <f>Picks!O1</f>
        <v/>
      </c>
      <c r="K1" s="4">
        <f>Picks!Q1</f>
        <v/>
      </c>
      <c r="L1" s="4">
        <f>Picks!S1</f>
        <v/>
      </c>
      <c r="M1" s="4">
        <f>Picks!U1</f>
        <v/>
      </c>
      <c r="N1" s="4">
        <f>Picks!W1</f>
        <v/>
      </c>
      <c r="O1" s="4">
        <f>Picks!Y1</f>
        <v/>
      </c>
      <c r="P1" s="4">
        <f>Picks!AA1</f>
        <v/>
      </c>
      <c r="Q1" s="4">
        <f>Picks!AC1</f>
        <v/>
      </c>
      <c r="R1" s="4">
        <f>Picks!AE1</f>
        <v/>
      </c>
      <c r="S1" s="4">
        <f>Picks!AG1</f>
        <v/>
      </c>
      <c r="T1" s="4">
        <f>Picks!AI1</f>
        <v/>
      </c>
      <c r="U1" s="4">
        <f>Picks!AK1</f>
        <v/>
      </c>
      <c r="V1" s="4">
        <f>Picks!AM1</f>
        <v/>
      </c>
      <c r="W1" s="4">
        <f>Picks!AO1</f>
        <v/>
      </c>
      <c r="X1" s="4">
        <f>Picks!AQ1</f>
        <v/>
      </c>
    </row>
    <row r="2">
      <c r="A2" s="13" t="inlineStr">
        <is>
          <t>Round</t>
        </is>
      </c>
      <c r="B2" s="13" t="inlineStr">
        <is>
          <t>Series</t>
        </is>
      </c>
      <c r="C2" s="13" t="inlineStr">
        <is>
          <t>Round Pts</t>
        </is>
      </c>
      <c r="D2" s="13" t="inlineStr">
        <is>
          <t>Actual Winner</t>
        </is>
      </c>
      <c r="E2" s="13" t="inlineStr">
        <is>
          <t>Points</t>
        </is>
      </c>
      <c r="F2" s="13" t="inlineStr">
        <is>
          <t>Points</t>
        </is>
      </c>
      <c r="G2" s="13" t="inlineStr">
        <is>
          <t>Points</t>
        </is>
      </c>
      <c r="H2" s="13" t="inlineStr">
        <is>
          <t>Points</t>
        </is>
      </c>
      <c r="I2" s="13" t="inlineStr">
        <is>
          <t>Points</t>
        </is>
      </c>
      <c r="J2" s="13" t="inlineStr">
        <is>
          <t>Points</t>
        </is>
      </c>
      <c r="K2" s="13" t="inlineStr">
        <is>
          <t>Points</t>
        </is>
      </c>
      <c r="L2" s="13" t="inlineStr">
        <is>
          <t>Points</t>
        </is>
      </c>
      <c r="M2" s="13" t="inlineStr">
        <is>
          <t>Points</t>
        </is>
      </c>
      <c r="N2" s="13" t="inlineStr">
        <is>
          <t>Points</t>
        </is>
      </c>
      <c r="O2" s="13" t="inlineStr">
        <is>
          <t>Points</t>
        </is>
      </c>
      <c r="P2" s="13" t="inlineStr">
        <is>
          <t>Points</t>
        </is>
      </c>
      <c r="Q2" s="13" t="inlineStr">
        <is>
          <t>Points</t>
        </is>
      </c>
      <c r="R2" s="13" t="inlineStr">
        <is>
          <t>Points</t>
        </is>
      </c>
      <c r="S2" s="13" t="inlineStr">
        <is>
          <t>Points</t>
        </is>
      </c>
      <c r="T2" s="13" t="inlineStr">
        <is>
          <t>Points</t>
        </is>
      </c>
      <c r="U2" s="13" t="inlineStr">
        <is>
          <t>Points</t>
        </is>
      </c>
      <c r="V2" s="13" t="inlineStr">
        <is>
          <t>Points</t>
        </is>
      </c>
      <c r="W2" s="13" t="inlineStr">
        <is>
          <t>Points</t>
        </is>
      </c>
      <c r="X2" s="13" t="inlineStr">
        <is>
          <t>Points</t>
        </is>
      </c>
    </row>
    <row r="3">
      <c r="A3" s="5" t="inlineStr">
        <is>
          <t>Round 1</t>
        </is>
      </c>
      <c r="B3" s="5" t="inlineStr">
        <is>
          <t>E1</t>
        </is>
      </c>
      <c r="C3" s="7">
        <f>R1_PTS</f>
        <v/>
      </c>
      <c r="D3" s="7">
        <f>Picks!C3</f>
        <v/>
      </c>
      <c r="E3" s="7">
        <f>IF(Picks!C3="","",IF(Picks!E3=Picks!C3,$C3+IF(AND(Picks!F3&lt;&gt;"",Picks!F3=Picks!D3),GAMES_BONUS,0),0))</f>
        <v/>
      </c>
      <c r="F3" s="7">
        <f>IF(Picks!C3="","",IF(Picks!G3=Picks!C3,$C3+IF(AND(Picks!H3&lt;&gt;"",Picks!H3=Picks!D3),GAMES_BONUS,0),0))</f>
        <v/>
      </c>
      <c r="G3" s="7">
        <f>IF(Picks!C3="","",IF(Picks!I3=Picks!C3,$C3+IF(AND(Picks!J3&lt;&gt;"",Picks!J3=Picks!D3),GAMES_BONUS,0),0))</f>
        <v/>
      </c>
      <c r="H3" s="7">
        <f>IF(Picks!C3="","",IF(Picks!K3=Picks!C3,$C3+IF(AND(Picks!L3&lt;&gt;"",Picks!L3=Picks!D3),GAMES_BONUS,0),0))</f>
        <v/>
      </c>
      <c r="I3" s="7">
        <f>IF(Picks!C3="","",IF(Picks!M3=Picks!C3,$C3+IF(AND(Picks!N3&lt;&gt;"",Picks!N3=Picks!D3),GAMES_BONUS,0),0))</f>
        <v/>
      </c>
      <c r="J3" s="7">
        <f>IF(Picks!C3="","",IF(Picks!O3=Picks!C3,$C3+IF(AND(Picks!P3&lt;&gt;"",Picks!P3=Picks!D3),GAMES_BONUS,0),0))</f>
        <v/>
      </c>
      <c r="K3" s="7">
        <f>IF(Picks!C3="","",IF(Picks!Q3=Picks!C3,$C3+IF(AND(Picks!R3&lt;&gt;"",Picks!R3=Picks!D3),GAMES_BONUS,0),0))</f>
        <v/>
      </c>
      <c r="L3" s="7">
        <f>IF(Picks!C3="","",IF(Picks!S3=Picks!C3,$C3+IF(AND(Picks!T3&lt;&gt;"",Picks!T3=Picks!D3),GAMES_BONUS,0),0))</f>
        <v/>
      </c>
      <c r="M3" s="7">
        <f>IF(Picks!C3="","",IF(Picks!U3=Picks!C3,$C3+IF(AND(Picks!V3&lt;&gt;"",Picks!V3=Picks!D3),GAMES_BONUS,0),0))</f>
        <v/>
      </c>
      <c r="N3" s="7">
        <f>IF(Picks!C3="","",IF(Picks!W3=Picks!C3,$C3+IF(AND(Picks!X3&lt;&gt;"",Picks!X3=Picks!D3),GAMES_BONUS,0),0))</f>
        <v/>
      </c>
      <c r="O3" s="7">
        <f>IF(Picks!C3="","",IF(Picks!Y3=Picks!C3,$C3+IF(AND(Picks!Z3&lt;&gt;"",Picks!Z3=Picks!D3),GAMES_BONUS,0),0))</f>
        <v/>
      </c>
      <c r="P3" s="7">
        <f>IF(Picks!C3="","",IF(Picks!AA3=Picks!C3,$C3+IF(AND(Picks!AB3&lt;&gt;"",Picks!AB3=Picks!D3),GAMES_BONUS,0),0))</f>
        <v/>
      </c>
      <c r="Q3" s="7">
        <f>IF(Picks!C3="","",IF(Picks!AC3=Picks!C3,$C3+IF(AND(Picks!AD3&lt;&gt;"",Picks!AD3=Picks!D3),GAMES_BONUS,0),0))</f>
        <v/>
      </c>
      <c r="R3" s="7">
        <f>IF(Picks!C3="","",IF(Picks!AE3=Picks!C3,$C3+IF(AND(Picks!AF3&lt;&gt;"",Picks!AF3=Picks!D3),GAMES_BONUS,0),0))</f>
        <v/>
      </c>
      <c r="S3" s="7">
        <f>IF(Picks!C3="","",IF(Picks!AG3=Picks!C3,$C3+IF(AND(Picks!AH3&lt;&gt;"",Picks!AH3=Picks!D3),GAMES_BONUS,0),0))</f>
        <v/>
      </c>
      <c r="T3" s="7">
        <f>IF(Picks!C3="","",IF(Picks!AI3=Picks!C3,$C3+IF(AND(Picks!AJ3&lt;&gt;"",Picks!AJ3=Picks!D3),GAMES_BONUS,0),0))</f>
        <v/>
      </c>
      <c r="U3" s="7">
        <f>IF(Picks!C3="","",IF(Picks!AK3=Picks!C3,$C3+IF(AND(Picks!AL3&lt;&gt;"",Picks!AL3=Picks!D3),GAMES_BONUS,0),0))</f>
        <v/>
      </c>
      <c r="V3" s="7">
        <f>IF(Picks!C3="","",IF(Picks!AM3=Picks!C3,$C3+IF(AND(Picks!AN3&lt;&gt;"",Picks!AN3=Picks!D3),GAMES_BONUS,0),0))</f>
        <v/>
      </c>
      <c r="W3" s="7">
        <f>IF(Picks!C3="","",IF(Picks!AO3=Picks!C3,$C3+IF(AND(Picks!AP3&lt;&gt;"",Picks!AP3=Picks!D3),GAMES_BONUS,0),0))</f>
        <v/>
      </c>
      <c r="X3" s="7">
        <f>IF(Picks!C3="","",IF(Picks!AQ3=Picks!C3,$C3+IF(AND(Picks!AR3&lt;&gt;"",Picks!AR3=Picks!D3),GAMES_BONUS,0),0))</f>
        <v/>
      </c>
    </row>
    <row r="4">
      <c r="A4" s="5" t="inlineStr">
        <is>
          <t>Round 1</t>
        </is>
      </c>
      <c r="B4" s="5" t="inlineStr">
        <is>
          <t>E2</t>
        </is>
      </c>
      <c r="C4" s="7">
        <f>R1_PTS</f>
        <v/>
      </c>
      <c r="D4" s="7">
        <f>Picks!C4</f>
        <v/>
      </c>
      <c r="E4" s="7">
        <f>IF(Picks!C4="","",IF(Picks!E4=Picks!C4,$C4+IF(AND(Picks!F4&lt;&gt;"",Picks!F4=Picks!D4),GAMES_BONUS,0),0))</f>
        <v/>
      </c>
      <c r="F4" s="7">
        <f>IF(Picks!C4="","",IF(Picks!G4=Picks!C4,$C4+IF(AND(Picks!H4&lt;&gt;"",Picks!H4=Picks!D4),GAMES_BONUS,0),0))</f>
        <v/>
      </c>
      <c r="G4" s="7">
        <f>IF(Picks!C4="","",IF(Picks!I4=Picks!C4,$C4+IF(AND(Picks!J4&lt;&gt;"",Picks!J4=Picks!D4),GAMES_BONUS,0),0))</f>
        <v/>
      </c>
      <c r="H4" s="7">
        <f>IF(Picks!C4="","",IF(Picks!K4=Picks!C4,$C4+IF(AND(Picks!L4&lt;&gt;"",Picks!L4=Picks!D4),GAMES_BONUS,0),0))</f>
        <v/>
      </c>
      <c r="I4" s="7">
        <f>IF(Picks!C4="","",IF(Picks!M4=Picks!C4,$C4+IF(AND(Picks!N4&lt;&gt;"",Picks!N4=Picks!D4),GAMES_BONUS,0),0))</f>
        <v/>
      </c>
      <c r="J4" s="7">
        <f>IF(Picks!C4="","",IF(Picks!O4=Picks!C4,$C4+IF(AND(Picks!P4&lt;&gt;"",Picks!P4=Picks!D4),GAMES_BONUS,0),0))</f>
        <v/>
      </c>
      <c r="K4" s="7">
        <f>IF(Picks!C4="","",IF(Picks!Q4=Picks!C4,$C4+IF(AND(Picks!R4&lt;&gt;"",Picks!R4=Picks!D4),GAMES_BONUS,0),0))</f>
        <v/>
      </c>
      <c r="L4" s="7">
        <f>IF(Picks!C4="","",IF(Picks!S4=Picks!C4,$C4+IF(AND(Picks!T4&lt;&gt;"",Picks!T4=Picks!D4),GAMES_BONUS,0),0))</f>
        <v/>
      </c>
      <c r="M4" s="7">
        <f>IF(Picks!C4="","",IF(Picks!U4=Picks!C4,$C4+IF(AND(Picks!V4&lt;&gt;"",Picks!V4=Picks!D4),GAMES_BONUS,0),0))</f>
        <v/>
      </c>
      <c r="N4" s="7">
        <f>IF(Picks!C4="","",IF(Picks!W4=Picks!C4,$C4+IF(AND(Picks!X4&lt;&gt;"",Picks!X4=Picks!D4),GAMES_BONUS,0),0))</f>
        <v/>
      </c>
      <c r="O4" s="7">
        <f>IF(Picks!C4="","",IF(Picks!Y4=Picks!C4,$C4+IF(AND(Picks!Z4&lt;&gt;"",Picks!Z4=Picks!D4),GAMES_BONUS,0),0))</f>
        <v/>
      </c>
      <c r="P4" s="7">
        <f>IF(Picks!C4="","",IF(Picks!AA4=Picks!C4,$C4+IF(AND(Picks!AB4&lt;&gt;"",Picks!AB4=Picks!D4),GAMES_BONUS,0),0))</f>
        <v/>
      </c>
      <c r="Q4" s="7">
        <f>IF(Picks!C4="","",IF(Picks!AC4=Picks!C4,$C4+IF(AND(Picks!AD4&lt;&gt;"",Picks!AD4=Picks!D4),GAMES_BONUS,0),0))</f>
        <v/>
      </c>
      <c r="R4" s="7">
        <f>IF(Picks!C4="","",IF(Picks!AE4=Picks!C4,$C4+IF(AND(Picks!AF4&lt;&gt;"",Picks!AF4=Picks!D4),GAMES_BONUS,0),0))</f>
        <v/>
      </c>
      <c r="S4" s="7">
        <f>IF(Picks!C4="","",IF(Picks!AG4=Picks!C4,$C4+IF(AND(Picks!AH4&lt;&gt;"",Picks!AH4=Picks!D4),GAMES_BONUS,0),0))</f>
        <v/>
      </c>
      <c r="T4" s="7">
        <f>IF(Picks!C4="","",IF(Picks!AI4=Picks!C4,$C4+IF(AND(Picks!AJ4&lt;&gt;"",Picks!AJ4=Picks!D4),GAMES_BONUS,0),0))</f>
        <v/>
      </c>
      <c r="U4" s="7">
        <f>IF(Picks!C4="","",IF(Picks!AK4=Picks!C4,$C4+IF(AND(Picks!AL4&lt;&gt;"",Picks!AL4=Picks!D4),GAMES_BONUS,0),0))</f>
        <v/>
      </c>
      <c r="V4" s="7">
        <f>IF(Picks!C4="","",IF(Picks!AM4=Picks!C4,$C4+IF(AND(Picks!AN4&lt;&gt;"",Picks!AN4=Picks!D4),GAMES_BONUS,0),0))</f>
        <v/>
      </c>
      <c r="W4" s="7">
        <f>IF(Picks!C4="","",IF(Picks!AO4=Picks!C4,$C4+IF(AND(Picks!AP4&lt;&gt;"",Picks!AP4=Picks!D4),GAMES_BONUS,0),0))</f>
        <v/>
      </c>
      <c r="X4" s="7">
        <f>IF(Picks!C4="","",IF(Picks!AQ4=Picks!C4,$C4+IF(AND(Picks!AR4&lt;&gt;"",Picks!AR4=Picks!D4),GAMES_BONUS,0),0))</f>
        <v/>
      </c>
    </row>
    <row r="5">
      <c r="A5" s="5" t="inlineStr">
        <is>
          <t>Round 1</t>
        </is>
      </c>
      <c r="B5" s="5" t="inlineStr">
        <is>
          <t>E3</t>
        </is>
      </c>
      <c r="C5" s="7">
        <f>R1_PTS</f>
        <v/>
      </c>
      <c r="D5" s="7">
        <f>Picks!C5</f>
        <v/>
      </c>
      <c r="E5" s="7">
        <f>IF(Picks!C5="","",IF(Picks!E5=Picks!C5,$C5+IF(AND(Picks!F5&lt;&gt;"",Picks!F5=Picks!D5),GAMES_BONUS,0),0))</f>
        <v/>
      </c>
      <c r="F5" s="7">
        <f>IF(Picks!C5="","",IF(Picks!G5=Picks!C5,$C5+IF(AND(Picks!H5&lt;&gt;"",Picks!H5=Picks!D5),GAMES_BONUS,0),0))</f>
        <v/>
      </c>
      <c r="G5" s="7">
        <f>IF(Picks!C5="","",IF(Picks!I5=Picks!C5,$C5+IF(AND(Picks!J5&lt;&gt;"",Picks!J5=Picks!D5),GAMES_BONUS,0),0))</f>
        <v/>
      </c>
      <c r="H5" s="7">
        <f>IF(Picks!C5="","",IF(Picks!K5=Picks!C5,$C5+IF(AND(Picks!L5&lt;&gt;"",Picks!L5=Picks!D5),GAMES_BONUS,0),0))</f>
        <v/>
      </c>
      <c r="I5" s="7">
        <f>IF(Picks!C5="","",IF(Picks!M5=Picks!C5,$C5+IF(AND(Picks!N5&lt;&gt;"",Picks!N5=Picks!D5),GAMES_BONUS,0),0))</f>
        <v/>
      </c>
      <c r="J5" s="7">
        <f>IF(Picks!C5="","",IF(Picks!O5=Picks!C5,$C5+IF(AND(Picks!P5&lt;&gt;"",Picks!P5=Picks!D5),GAMES_BONUS,0),0))</f>
        <v/>
      </c>
      <c r="K5" s="7">
        <f>IF(Picks!C5="","",IF(Picks!Q5=Picks!C5,$C5+IF(AND(Picks!R5&lt;&gt;"",Picks!R5=Picks!D5),GAMES_BONUS,0),0))</f>
        <v/>
      </c>
      <c r="L5" s="7">
        <f>IF(Picks!C5="","",IF(Picks!S5=Picks!C5,$C5+IF(AND(Picks!T5&lt;&gt;"",Picks!T5=Picks!D5),GAMES_BONUS,0),0))</f>
        <v/>
      </c>
      <c r="M5" s="7">
        <f>IF(Picks!C5="","",IF(Picks!U5=Picks!C5,$C5+IF(AND(Picks!V5&lt;&gt;"",Picks!V5=Picks!D5),GAMES_BONUS,0),0))</f>
        <v/>
      </c>
      <c r="N5" s="7">
        <f>IF(Picks!C5="","",IF(Picks!W5=Picks!C5,$C5+IF(AND(Picks!X5&lt;&gt;"",Picks!X5=Picks!D5),GAMES_BONUS,0),0))</f>
        <v/>
      </c>
      <c r="O5" s="7">
        <f>IF(Picks!C5="","",IF(Picks!Y5=Picks!C5,$C5+IF(AND(Picks!Z5&lt;&gt;"",Picks!Z5=Picks!D5),GAMES_BONUS,0),0))</f>
        <v/>
      </c>
      <c r="P5" s="7">
        <f>IF(Picks!C5="","",IF(Picks!AA5=Picks!C5,$C5+IF(AND(Picks!AB5&lt;&gt;"",Picks!AB5=Picks!D5),GAMES_BONUS,0),0))</f>
        <v/>
      </c>
      <c r="Q5" s="7">
        <f>IF(Picks!C5="","",IF(Picks!AC5=Picks!C5,$C5+IF(AND(Picks!AD5&lt;&gt;"",Picks!AD5=Picks!D5),GAMES_BONUS,0),0))</f>
        <v/>
      </c>
      <c r="R5" s="7">
        <f>IF(Picks!C5="","",IF(Picks!AE5=Picks!C5,$C5+IF(AND(Picks!AF5&lt;&gt;"",Picks!AF5=Picks!D5),GAMES_BONUS,0),0))</f>
        <v/>
      </c>
      <c r="S5" s="7">
        <f>IF(Picks!C5="","",IF(Picks!AG5=Picks!C5,$C5+IF(AND(Picks!AH5&lt;&gt;"",Picks!AH5=Picks!D5),GAMES_BONUS,0),0))</f>
        <v/>
      </c>
      <c r="T5" s="7">
        <f>IF(Picks!C5="","",IF(Picks!AI5=Picks!C5,$C5+IF(AND(Picks!AJ5&lt;&gt;"",Picks!AJ5=Picks!D5),GAMES_BONUS,0),0))</f>
        <v/>
      </c>
      <c r="U5" s="7">
        <f>IF(Picks!C5="","",IF(Picks!AK5=Picks!C5,$C5+IF(AND(Picks!AL5&lt;&gt;"",Picks!AL5=Picks!D5),GAMES_BONUS,0),0))</f>
        <v/>
      </c>
      <c r="V5" s="7">
        <f>IF(Picks!C5="","",IF(Picks!AM5=Picks!C5,$C5+IF(AND(Picks!AN5&lt;&gt;"",Picks!AN5=Picks!D5),GAMES_BONUS,0),0))</f>
        <v/>
      </c>
      <c r="W5" s="7">
        <f>IF(Picks!C5="","",IF(Picks!AO5=Picks!C5,$C5+IF(AND(Picks!AP5&lt;&gt;"",Picks!AP5=Picks!D5),GAMES_BONUS,0),0))</f>
        <v/>
      </c>
      <c r="X5" s="7">
        <f>IF(Picks!C5="","",IF(Picks!AQ5=Picks!C5,$C5+IF(AND(Picks!AR5&lt;&gt;"",Picks!AR5=Picks!D5),GAMES_BONUS,0),0))</f>
        <v/>
      </c>
    </row>
    <row r="6">
      <c r="A6" s="5" t="inlineStr">
        <is>
          <t>Round 1</t>
        </is>
      </c>
      <c r="B6" s="5" t="inlineStr">
        <is>
          <t>E4</t>
        </is>
      </c>
      <c r="C6" s="7">
        <f>R1_PTS</f>
        <v/>
      </c>
      <c r="D6" s="7">
        <f>Picks!C6</f>
        <v/>
      </c>
      <c r="E6" s="7">
        <f>IF(Picks!C6="","",IF(Picks!E6=Picks!C6,$C6+IF(AND(Picks!F6&lt;&gt;"",Picks!F6=Picks!D6),GAMES_BONUS,0),0))</f>
        <v/>
      </c>
      <c r="F6" s="7">
        <f>IF(Picks!C6="","",IF(Picks!G6=Picks!C6,$C6+IF(AND(Picks!H6&lt;&gt;"",Picks!H6=Picks!D6),GAMES_BONUS,0),0))</f>
        <v/>
      </c>
      <c r="G6" s="7">
        <f>IF(Picks!C6="","",IF(Picks!I6=Picks!C6,$C6+IF(AND(Picks!J6&lt;&gt;"",Picks!J6=Picks!D6),GAMES_BONUS,0),0))</f>
        <v/>
      </c>
      <c r="H6" s="7">
        <f>IF(Picks!C6="","",IF(Picks!K6=Picks!C6,$C6+IF(AND(Picks!L6&lt;&gt;"",Picks!L6=Picks!D6),GAMES_BONUS,0),0))</f>
        <v/>
      </c>
      <c r="I6" s="7">
        <f>IF(Picks!C6="","",IF(Picks!M6=Picks!C6,$C6+IF(AND(Picks!N6&lt;&gt;"",Picks!N6=Picks!D6),GAMES_BONUS,0),0))</f>
        <v/>
      </c>
      <c r="J6" s="7">
        <f>IF(Picks!C6="","",IF(Picks!O6=Picks!C6,$C6+IF(AND(Picks!P6&lt;&gt;"",Picks!P6=Picks!D6),GAMES_BONUS,0),0))</f>
        <v/>
      </c>
      <c r="K6" s="7">
        <f>IF(Picks!C6="","",IF(Picks!Q6=Picks!C6,$C6+IF(AND(Picks!R6&lt;&gt;"",Picks!R6=Picks!D6),GAMES_BONUS,0),0))</f>
        <v/>
      </c>
      <c r="L6" s="7">
        <f>IF(Picks!C6="","",IF(Picks!S6=Picks!C6,$C6+IF(AND(Picks!T6&lt;&gt;"",Picks!T6=Picks!D6),GAMES_BONUS,0),0))</f>
        <v/>
      </c>
      <c r="M6" s="7">
        <f>IF(Picks!C6="","",IF(Picks!U6=Picks!C6,$C6+IF(AND(Picks!V6&lt;&gt;"",Picks!V6=Picks!D6),GAMES_BONUS,0),0))</f>
        <v/>
      </c>
      <c r="N6" s="7">
        <f>IF(Picks!C6="","",IF(Picks!W6=Picks!C6,$C6+IF(AND(Picks!X6&lt;&gt;"",Picks!X6=Picks!D6),GAMES_BONUS,0),0))</f>
        <v/>
      </c>
      <c r="O6" s="7">
        <f>IF(Picks!C6="","",IF(Picks!Y6=Picks!C6,$C6+IF(AND(Picks!Z6&lt;&gt;"",Picks!Z6=Picks!D6),GAMES_BONUS,0),0))</f>
        <v/>
      </c>
      <c r="P6" s="7">
        <f>IF(Picks!C6="","",IF(Picks!AA6=Picks!C6,$C6+IF(AND(Picks!AB6&lt;&gt;"",Picks!AB6=Picks!D6),GAMES_BONUS,0),0))</f>
        <v/>
      </c>
      <c r="Q6" s="7">
        <f>IF(Picks!C6="","",IF(Picks!AC6=Picks!C6,$C6+IF(AND(Picks!AD6&lt;&gt;"",Picks!AD6=Picks!D6),GAMES_BONUS,0),0))</f>
        <v/>
      </c>
      <c r="R6" s="7">
        <f>IF(Picks!C6="","",IF(Picks!AE6=Picks!C6,$C6+IF(AND(Picks!AF6&lt;&gt;"",Picks!AF6=Picks!D6),GAMES_BONUS,0),0))</f>
        <v/>
      </c>
      <c r="S6" s="7">
        <f>IF(Picks!C6="","",IF(Picks!AG6=Picks!C6,$C6+IF(AND(Picks!AH6&lt;&gt;"",Picks!AH6=Picks!D6),GAMES_BONUS,0),0))</f>
        <v/>
      </c>
      <c r="T6" s="7">
        <f>IF(Picks!C6="","",IF(Picks!AI6=Picks!C6,$C6+IF(AND(Picks!AJ6&lt;&gt;"",Picks!AJ6=Picks!D6),GAMES_BONUS,0),0))</f>
        <v/>
      </c>
      <c r="U6" s="7">
        <f>IF(Picks!C6="","",IF(Picks!AK6=Picks!C6,$C6+IF(AND(Picks!AL6&lt;&gt;"",Picks!AL6=Picks!D6),GAMES_BONUS,0),0))</f>
        <v/>
      </c>
      <c r="V6" s="7">
        <f>IF(Picks!C6="","",IF(Picks!AM6=Picks!C6,$C6+IF(AND(Picks!AN6&lt;&gt;"",Picks!AN6=Picks!D6),GAMES_BONUS,0),0))</f>
        <v/>
      </c>
      <c r="W6" s="7">
        <f>IF(Picks!C6="","",IF(Picks!AO6=Picks!C6,$C6+IF(AND(Picks!AP6&lt;&gt;"",Picks!AP6=Picks!D6),GAMES_BONUS,0),0))</f>
        <v/>
      </c>
      <c r="X6" s="7">
        <f>IF(Picks!C6="","",IF(Picks!AQ6=Picks!C6,$C6+IF(AND(Picks!AR6&lt;&gt;"",Picks!AR6=Picks!D6),GAMES_BONUS,0),0))</f>
        <v/>
      </c>
    </row>
    <row r="7">
      <c r="A7" s="5" t="inlineStr">
        <is>
          <t>Round 1</t>
        </is>
      </c>
      <c r="B7" s="5" t="inlineStr">
        <is>
          <t>W1</t>
        </is>
      </c>
      <c r="C7" s="7">
        <f>R1_PTS</f>
        <v/>
      </c>
      <c r="D7" s="7">
        <f>Picks!C7</f>
        <v/>
      </c>
      <c r="E7" s="7">
        <f>IF(Picks!C7="","",IF(Picks!E7=Picks!C7,$C7+IF(AND(Picks!F7&lt;&gt;"",Picks!F7=Picks!D7),GAMES_BONUS,0),0))</f>
        <v/>
      </c>
      <c r="F7" s="7">
        <f>IF(Picks!C7="","",IF(Picks!G7=Picks!C7,$C7+IF(AND(Picks!H7&lt;&gt;"",Picks!H7=Picks!D7),GAMES_BONUS,0),0))</f>
        <v/>
      </c>
      <c r="G7" s="7">
        <f>IF(Picks!C7="","",IF(Picks!I7=Picks!C7,$C7+IF(AND(Picks!J7&lt;&gt;"",Picks!J7=Picks!D7),GAMES_BONUS,0),0))</f>
        <v/>
      </c>
      <c r="H7" s="7">
        <f>IF(Picks!C7="","",IF(Picks!K7=Picks!C7,$C7+IF(AND(Picks!L7&lt;&gt;"",Picks!L7=Picks!D7),GAMES_BONUS,0),0))</f>
        <v/>
      </c>
      <c r="I7" s="7">
        <f>IF(Picks!C7="","",IF(Picks!M7=Picks!C7,$C7+IF(AND(Picks!N7&lt;&gt;"",Picks!N7=Picks!D7),GAMES_BONUS,0),0))</f>
        <v/>
      </c>
      <c r="J7" s="7">
        <f>IF(Picks!C7="","",IF(Picks!O7=Picks!C7,$C7+IF(AND(Picks!P7&lt;&gt;"",Picks!P7=Picks!D7),GAMES_BONUS,0),0))</f>
        <v/>
      </c>
      <c r="K7" s="7">
        <f>IF(Picks!C7="","",IF(Picks!Q7=Picks!C7,$C7+IF(AND(Picks!R7&lt;&gt;"",Picks!R7=Picks!D7),GAMES_BONUS,0),0))</f>
        <v/>
      </c>
      <c r="L7" s="7">
        <f>IF(Picks!C7="","",IF(Picks!S7=Picks!C7,$C7+IF(AND(Picks!T7&lt;&gt;"",Picks!T7=Picks!D7),GAMES_BONUS,0),0))</f>
        <v/>
      </c>
      <c r="M7" s="7">
        <f>IF(Picks!C7="","",IF(Picks!U7=Picks!C7,$C7+IF(AND(Picks!V7&lt;&gt;"",Picks!V7=Picks!D7),GAMES_BONUS,0),0))</f>
        <v/>
      </c>
      <c r="N7" s="7">
        <f>IF(Picks!C7="","",IF(Picks!W7=Picks!C7,$C7+IF(AND(Picks!X7&lt;&gt;"",Picks!X7=Picks!D7),GAMES_BONUS,0),0))</f>
        <v/>
      </c>
      <c r="O7" s="7">
        <f>IF(Picks!C7="","",IF(Picks!Y7=Picks!C7,$C7+IF(AND(Picks!Z7&lt;&gt;"",Picks!Z7=Picks!D7),GAMES_BONUS,0),0))</f>
        <v/>
      </c>
      <c r="P7" s="7">
        <f>IF(Picks!C7="","",IF(Picks!AA7=Picks!C7,$C7+IF(AND(Picks!AB7&lt;&gt;"",Picks!AB7=Picks!D7),GAMES_BONUS,0),0))</f>
        <v/>
      </c>
      <c r="Q7" s="7">
        <f>IF(Picks!C7="","",IF(Picks!AC7=Picks!C7,$C7+IF(AND(Picks!AD7&lt;&gt;"",Picks!AD7=Picks!D7),GAMES_BONUS,0),0))</f>
        <v/>
      </c>
      <c r="R7" s="7">
        <f>IF(Picks!C7="","",IF(Picks!AE7=Picks!C7,$C7+IF(AND(Picks!AF7&lt;&gt;"",Picks!AF7=Picks!D7),GAMES_BONUS,0),0))</f>
        <v/>
      </c>
      <c r="S7" s="7">
        <f>IF(Picks!C7="","",IF(Picks!AG7=Picks!C7,$C7+IF(AND(Picks!AH7&lt;&gt;"",Picks!AH7=Picks!D7),GAMES_BONUS,0),0))</f>
        <v/>
      </c>
      <c r="T7" s="7">
        <f>IF(Picks!C7="","",IF(Picks!AI7=Picks!C7,$C7+IF(AND(Picks!AJ7&lt;&gt;"",Picks!AJ7=Picks!D7),GAMES_BONUS,0),0))</f>
        <v/>
      </c>
      <c r="U7" s="7">
        <f>IF(Picks!C7="","",IF(Picks!AK7=Picks!C7,$C7+IF(AND(Picks!AL7&lt;&gt;"",Picks!AL7=Picks!D7),GAMES_BONUS,0),0))</f>
        <v/>
      </c>
      <c r="V7" s="7">
        <f>IF(Picks!C7="","",IF(Picks!AM7=Picks!C7,$C7+IF(AND(Picks!AN7&lt;&gt;"",Picks!AN7=Picks!D7),GAMES_BONUS,0),0))</f>
        <v/>
      </c>
      <c r="W7" s="7">
        <f>IF(Picks!C7="","",IF(Picks!AO7=Picks!C7,$C7+IF(AND(Picks!AP7&lt;&gt;"",Picks!AP7=Picks!D7),GAMES_BONUS,0),0))</f>
        <v/>
      </c>
      <c r="X7" s="7">
        <f>IF(Picks!C7="","",IF(Picks!AQ7=Picks!C7,$C7+IF(AND(Picks!AR7&lt;&gt;"",Picks!AR7=Picks!D7),GAMES_BONUS,0),0))</f>
        <v/>
      </c>
    </row>
    <row r="8">
      <c r="A8" s="5" t="inlineStr">
        <is>
          <t>Round 1</t>
        </is>
      </c>
      <c r="B8" s="5" t="inlineStr">
        <is>
          <t>W2</t>
        </is>
      </c>
      <c r="C8" s="7">
        <f>R1_PTS</f>
        <v/>
      </c>
      <c r="D8" s="7">
        <f>Picks!C8</f>
        <v/>
      </c>
      <c r="E8" s="7">
        <f>IF(Picks!C8="","",IF(Picks!E8=Picks!C8,$C8+IF(AND(Picks!F8&lt;&gt;"",Picks!F8=Picks!D8),GAMES_BONUS,0),0))</f>
        <v/>
      </c>
      <c r="F8" s="7">
        <f>IF(Picks!C8="","",IF(Picks!G8=Picks!C8,$C8+IF(AND(Picks!H8&lt;&gt;"",Picks!H8=Picks!D8),GAMES_BONUS,0),0))</f>
        <v/>
      </c>
      <c r="G8" s="7">
        <f>IF(Picks!C8="","",IF(Picks!I8=Picks!C8,$C8+IF(AND(Picks!J8&lt;&gt;"",Picks!J8=Picks!D8),GAMES_BONUS,0),0))</f>
        <v/>
      </c>
      <c r="H8" s="7">
        <f>IF(Picks!C8="","",IF(Picks!K8=Picks!C8,$C8+IF(AND(Picks!L8&lt;&gt;"",Picks!L8=Picks!D8),GAMES_BONUS,0),0))</f>
        <v/>
      </c>
      <c r="I8" s="7">
        <f>IF(Picks!C8="","",IF(Picks!M8=Picks!C8,$C8+IF(AND(Picks!N8&lt;&gt;"",Picks!N8=Picks!D8),GAMES_BONUS,0),0))</f>
        <v/>
      </c>
      <c r="J8" s="7">
        <f>IF(Picks!C8="","",IF(Picks!O8=Picks!C8,$C8+IF(AND(Picks!P8&lt;&gt;"",Picks!P8=Picks!D8),GAMES_BONUS,0),0))</f>
        <v/>
      </c>
      <c r="K8" s="7">
        <f>IF(Picks!C8="","",IF(Picks!Q8=Picks!C8,$C8+IF(AND(Picks!R8&lt;&gt;"",Picks!R8=Picks!D8),GAMES_BONUS,0),0))</f>
        <v/>
      </c>
      <c r="L8" s="7">
        <f>IF(Picks!C8="","",IF(Picks!S8=Picks!C8,$C8+IF(AND(Picks!T8&lt;&gt;"",Picks!T8=Picks!D8),GAMES_BONUS,0),0))</f>
        <v/>
      </c>
      <c r="M8" s="7">
        <f>IF(Picks!C8="","",IF(Picks!U8=Picks!C8,$C8+IF(AND(Picks!V8&lt;&gt;"",Picks!V8=Picks!D8),GAMES_BONUS,0),0))</f>
        <v/>
      </c>
      <c r="N8" s="7">
        <f>IF(Picks!C8="","",IF(Picks!W8=Picks!C8,$C8+IF(AND(Picks!X8&lt;&gt;"",Picks!X8=Picks!D8),GAMES_BONUS,0),0))</f>
        <v/>
      </c>
      <c r="O8" s="7">
        <f>IF(Picks!C8="","",IF(Picks!Y8=Picks!C8,$C8+IF(AND(Picks!Z8&lt;&gt;"",Picks!Z8=Picks!D8),GAMES_BONUS,0),0))</f>
        <v/>
      </c>
      <c r="P8" s="7">
        <f>IF(Picks!C8="","",IF(Picks!AA8=Picks!C8,$C8+IF(AND(Picks!AB8&lt;&gt;"",Picks!AB8=Picks!D8),GAMES_BONUS,0),0))</f>
        <v/>
      </c>
      <c r="Q8" s="7">
        <f>IF(Picks!C8="","",IF(Picks!AC8=Picks!C8,$C8+IF(AND(Picks!AD8&lt;&gt;"",Picks!AD8=Picks!D8),GAMES_BONUS,0),0))</f>
        <v/>
      </c>
      <c r="R8" s="7">
        <f>IF(Picks!C8="","",IF(Picks!AE8=Picks!C8,$C8+IF(AND(Picks!AF8&lt;&gt;"",Picks!AF8=Picks!D8),GAMES_BONUS,0),0))</f>
        <v/>
      </c>
      <c r="S8" s="7">
        <f>IF(Picks!C8="","",IF(Picks!AG8=Picks!C8,$C8+IF(AND(Picks!AH8&lt;&gt;"",Picks!AH8=Picks!D8),GAMES_BONUS,0),0))</f>
        <v/>
      </c>
      <c r="T8" s="7">
        <f>IF(Picks!C8="","",IF(Picks!AI8=Picks!C8,$C8+IF(AND(Picks!AJ8&lt;&gt;"",Picks!AJ8=Picks!D8),GAMES_BONUS,0),0))</f>
        <v/>
      </c>
      <c r="U8" s="7">
        <f>IF(Picks!C8="","",IF(Picks!AK8=Picks!C8,$C8+IF(AND(Picks!AL8&lt;&gt;"",Picks!AL8=Picks!D8),GAMES_BONUS,0),0))</f>
        <v/>
      </c>
      <c r="V8" s="7">
        <f>IF(Picks!C8="","",IF(Picks!AM8=Picks!C8,$C8+IF(AND(Picks!AN8&lt;&gt;"",Picks!AN8=Picks!D8),GAMES_BONUS,0),0))</f>
        <v/>
      </c>
      <c r="W8" s="7">
        <f>IF(Picks!C8="","",IF(Picks!AO8=Picks!C8,$C8+IF(AND(Picks!AP8&lt;&gt;"",Picks!AP8=Picks!D8),GAMES_BONUS,0),0))</f>
        <v/>
      </c>
      <c r="X8" s="7">
        <f>IF(Picks!C8="","",IF(Picks!AQ8=Picks!C8,$C8+IF(AND(Picks!AR8&lt;&gt;"",Picks!AR8=Picks!D8),GAMES_BONUS,0),0))</f>
        <v/>
      </c>
    </row>
    <row r="9">
      <c r="A9" s="5" t="inlineStr">
        <is>
          <t>Round 1</t>
        </is>
      </c>
      <c r="B9" s="5" t="inlineStr">
        <is>
          <t>W3</t>
        </is>
      </c>
      <c r="C9" s="7">
        <f>R1_PTS</f>
        <v/>
      </c>
      <c r="D9" s="7">
        <f>Picks!C9</f>
        <v/>
      </c>
      <c r="E9" s="7">
        <f>IF(Picks!C9="","",IF(Picks!E9=Picks!C9,$C9+IF(AND(Picks!F9&lt;&gt;"",Picks!F9=Picks!D9),GAMES_BONUS,0),0))</f>
        <v/>
      </c>
      <c r="F9" s="7">
        <f>IF(Picks!C9="","",IF(Picks!G9=Picks!C9,$C9+IF(AND(Picks!H9&lt;&gt;"",Picks!H9=Picks!D9),GAMES_BONUS,0),0))</f>
        <v/>
      </c>
      <c r="G9" s="7">
        <f>IF(Picks!C9="","",IF(Picks!I9=Picks!C9,$C9+IF(AND(Picks!J9&lt;&gt;"",Picks!J9=Picks!D9),GAMES_BONUS,0),0))</f>
        <v/>
      </c>
      <c r="H9" s="7">
        <f>IF(Picks!C9="","",IF(Picks!K9=Picks!C9,$C9+IF(AND(Picks!L9&lt;&gt;"",Picks!L9=Picks!D9),GAMES_BONUS,0),0))</f>
        <v/>
      </c>
      <c r="I9" s="7">
        <f>IF(Picks!C9="","",IF(Picks!M9=Picks!C9,$C9+IF(AND(Picks!N9&lt;&gt;"",Picks!N9=Picks!D9),GAMES_BONUS,0),0))</f>
        <v/>
      </c>
      <c r="J9" s="7">
        <f>IF(Picks!C9="","",IF(Picks!O9=Picks!C9,$C9+IF(AND(Picks!P9&lt;&gt;"",Picks!P9=Picks!D9),GAMES_BONUS,0),0))</f>
        <v/>
      </c>
      <c r="K9" s="7">
        <f>IF(Picks!C9="","",IF(Picks!Q9=Picks!C9,$C9+IF(AND(Picks!R9&lt;&gt;"",Picks!R9=Picks!D9),GAMES_BONUS,0),0))</f>
        <v/>
      </c>
      <c r="L9" s="7">
        <f>IF(Picks!C9="","",IF(Picks!S9=Picks!C9,$C9+IF(AND(Picks!T9&lt;&gt;"",Picks!T9=Picks!D9),GAMES_BONUS,0),0))</f>
        <v/>
      </c>
      <c r="M9" s="7">
        <f>IF(Picks!C9="","",IF(Picks!U9=Picks!C9,$C9+IF(AND(Picks!V9&lt;&gt;"",Picks!V9=Picks!D9),GAMES_BONUS,0),0))</f>
        <v/>
      </c>
      <c r="N9" s="7">
        <f>IF(Picks!C9="","",IF(Picks!W9=Picks!C9,$C9+IF(AND(Picks!X9&lt;&gt;"",Picks!X9=Picks!D9),GAMES_BONUS,0),0))</f>
        <v/>
      </c>
      <c r="O9" s="7">
        <f>IF(Picks!C9="","",IF(Picks!Y9=Picks!C9,$C9+IF(AND(Picks!Z9&lt;&gt;"",Picks!Z9=Picks!D9),GAMES_BONUS,0),0))</f>
        <v/>
      </c>
      <c r="P9" s="7">
        <f>IF(Picks!C9="","",IF(Picks!AA9=Picks!C9,$C9+IF(AND(Picks!AB9&lt;&gt;"",Picks!AB9=Picks!D9),GAMES_BONUS,0),0))</f>
        <v/>
      </c>
      <c r="Q9" s="7">
        <f>IF(Picks!C9="","",IF(Picks!AC9=Picks!C9,$C9+IF(AND(Picks!AD9&lt;&gt;"",Picks!AD9=Picks!D9),GAMES_BONUS,0),0))</f>
        <v/>
      </c>
      <c r="R9" s="7">
        <f>IF(Picks!C9="","",IF(Picks!AE9=Picks!C9,$C9+IF(AND(Picks!AF9&lt;&gt;"",Picks!AF9=Picks!D9),GAMES_BONUS,0),0))</f>
        <v/>
      </c>
      <c r="S9" s="7">
        <f>IF(Picks!C9="","",IF(Picks!AG9=Picks!C9,$C9+IF(AND(Picks!AH9&lt;&gt;"",Picks!AH9=Picks!D9),GAMES_BONUS,0),0))</f>
        <v/>
      </c>
      <c r="T9" s="7">
        <f>IF(Picks!C9="","",IF(Picks!AI9=Picks!C9,$C9+IF(AND(Picks!AJ9&lt;&gt;"",Picks!AJ9=Picks!D9),GAMES_BONUS,0),0))</f>
        <v/>
      </c>
      <c r="U9" s="7">
        <f>IF(Picks!C9="","",IF(Picks!AK9=Picks!C9,$C9+IF(AND(Picks!AL9&lt;&gt;"",Picks!AL9=Picks!D9),GAMES_BONUS,0),0))</f>
        <v/>
      </c>
      <c r="V9" s="7">
        <f>IF(Picks!C9="","",IF(Picks!AM9=Picks!C9,$C9+IF(AND(Picks!AN9&lt;&gt;"",Picks!AN9=Picks!D9),GAMES_BONUS,0),0))</f>
        <v/>
      </c>
      <c r="W9" s="7">
        <f>IF(Picks!C9="","",IF(Picks!AO9=Picks!C9,$C9+IF(AND(Picks!AP9&lt;&gt;"",Picks!AP9=Picks!D9),GAMES_BONUS,0),0))</f>
        <v/>
      </c>
      <c r="X9" s="7">
        <f>IF(Picks!C9="","",IF(Picks!AQ9=Picks!C9,$C9+IF(AND(Picks!AR9&lt;&gt;"",Picks!AR9=Picks!D9),GAMES_BONUS,0),0))</f>
        <v/>
      </c>
    </row>
    <row r="10">
      <c r="A10" s="5" t="inlineStr">
        <is>
          <t>Round 1</t>
        </is>
      </c>
      <c r="B10" s="5" t="inlineStr">
        <is>
          <t>W4</t>
        </is>
      </c>
      <c r="C10" s="7">
        <f>R1_PTS</f>
        <v/>
      </c>
      <c r="D10" s="7">
        <f>Picks!C10</f>
        <v/>
      </c>
      <c r="E10" s="7">
        <f>IF(Picks!C10="","",IF(Picks!E10=Picks!C10,$C10+IF(AND(Picks!F10&lt;&gt;"",Picks!F10=Picks!D10),GAMES_BONUS,0),0))</f>
        <v/>
      </c>
      <c r="F10" s="7">
        <f>IF(Picks!C10="","",IF(Picks!G10=Picks!C10,$C10+IF(AND(Picks!H10&lt;&gt;"",Picks!H10=Picks!D10),GAMES_BONUS,0),0))</f>
        <v/>
      </c>
      <c r="G10" s="7">
        <f>IF(Picks!C10="","",IF(Picks!I10=Picks!C10,$C10+IF(AND(Picks!J10&lt;&gt;"",Picks!J10=Picks!D10),GAMES_BONUS,0),0))</f>
        <v/>
      </c>
      <c r="H10" s="7">
        <f>IF(Picks!C10="","",IF(Picks!K10=Picks!C10,$C10+IF(AND(Picks!L10&lt;&gt;"",Picks!L10=Picks!D10),GAMES_BONUS,0),0))</f>
        <v/>
      </c>
      <c r="I10" s="7">
        <f>IF(Picks!C10="","",IF(Picks!M10=Picks!C10,$C10+IF(AND(Picks!N10&lt;&gt;"",Picks!N10=Picks!D10),GAMES_BONUS,0),0))</f>
        <v/>
      </c>
      <c r="J10" s="7">
        <f>IF(Picks!C10="","",IF(Picks!O10=Picks!C10,$C10+IF(AND(Picks!P10&lt;&gt;"",Picks!P10=Picks!D10),GAMES_BONUS,0),0))</f>
        <v/>
      </c>
      <c r="K10" s="7">
        <f>IF(Picks!C10="","",IF(Picks!Q10=Picks!C10,$C10+IF(AND(Picks!R10&lt;&gt;"",Picks!R10=Picks!D10),GAMES_BONUS,0),0))</f>
        <v/>
      </c>
      <c r="L10" s="7">
        <f>IF(Picks!C10="","",IF(Picks!S10=Picks!C10,$C10+IF(AND(Picks!T10&lt;&gt;"",Picks!T10=Picks!D10),GAMES_BONUS,0),0))</f>
        <v/>
      </c>
      <c r="M10" s="7">
        <f>IF(Picks!C10="","",IF(Picks!U10=Picks!C10,$C10+IF(AND(Picks!V10&lt;&gt;"",Picks!V10=Picks!D10),GAMES_BONUS,0),0))</f>
        <v/>
      </c>
      <c r="N10" s="7">
        <f>IF(Picks!C10="","",IF(Picks!W10=Picks!C10,$C10+IF(AND(Picks!X10&lt;&gt;"",Picks!X10=Picks!D10),GAMES_BONUS,0),0))</f>
        <v/>
      </c>
      <c r="O10" s="7">
        <f>IF(Picks!C10="","",IF(Picks!Y10=Picks!C10,$C10+IF(AND(Picks!Z10&lt;&gt;"",Picks!Z10=Picks!D10),GAMES_BONUS,0),0))</f>
        <v/>
      </c>
      <c r="P10" s="7">
        <f>IF(Picks!C10="","",IF(Picks!AA10=Picks!C10,$C10+IF(AND(Picks!AB10&lt;&gt;"",Picks!AB10=Picks!D10),GAMES_BONUS,0),0))</f>
        <v/>
      </c>
      <c r="Q10" s="7">
        <f>IF(Picks!C10="","",IF(Picks!AC10=Picks!C10,$C10+IF(AND(Picks!AD10&lt;&gt;"",Picks!AD10=Picks!D10),GAMES_BONUS,0),0))</f>
        <v/>
      </c>
      <c r="R10" s="7">
        <f>IF(Picks!C10="","",IF(Picks!AE10=Picks!C10,$C10+IF(AND(Picks!AF10&lt;&gt;"",Picks!AF10=Picks!D10),GAMES_BONUS,0),0))</f>
        <v/>
      </c>
      <c r="S10" s="7">
        <f>IF(Picks!C10="","",IF(Picks!AG10=Picks!C10,$C10+IF(AND(Picks!AH10&lt;&gt;"",Picks!AH10=Picks!D10),GAMES_BONUS,0),0))</f>
        <v/>
      </c>
      <c r="T10" s="7">
        <f>IF(Picks!C10="","",IF(Picks!AI10=Picks!C10,$C10+IF(AND(Picks!AJ10&lt;&gt;"",Picks!AJ10=Picks!D10),GAMES_BONUS,0),0))</f>
        <v/>
      </c>
      <c r="U10" s="7">
        <f>IF(Picks!C10="","",IF(Picks!AK10=Picks!C10,$C10+IF(AND(Picks!AL10&lt;&gt;"",Picks!AL10=Picks!D10),GAMES_BONUS,0),0))</f>
        <v/>
      </c>
      <c r="V10" s="7">
        <f>IF(Picks!C10="","",IF(Picks!AM10=Picks!C10,$C10+IF(AND(Picks!AN10&lt;&gt;"",Picks!AN10=Picks!D10),GAMES_BONUS,0),0))</f>
        <v/>
      </c>
      <c r="W10" s="7">
        <f>IF(Picks!C10="","",IF(Picks!AO10=Picks!C10,$C10+IF(AND(Picks!AP10&lt;&gt;"",Picks!AP10=Picks!D10),GAMES_BONUS,0),0))</f>
        <v/>
      </c>
      <c r="X10" s="7">
        <f>IF(Picks!C10="","",IF(Picks!AQ10=Picks!C10,$C10+IF(AND(Picks!AR10&lt;&gt;"",Picks!AR10=Picks!D10),GAMES_BONUS,0),0))</f>
        <v/>
      </c>
    </row>
    <row r="11">
      <c r="A11" s="8" t="inlineStr">
        <is>
          <t>Round 2</t>
        </is>
      </c>
      <c r="B11" s="8" t="inlineStr">
        <is>
          <t>E5</t>
        </is>
      </c>
      <c r="C11" s="7">
        <f>R2_PTS</f>
        <v/>
      </c>
      <c r="D11" s="7">
        <f>Picks!C11</f>
        <v/>
      </c>
      <c r="E11" s="7">
        <f>IF(Picks!C11="","",IF(Picks!E11=Picks!C11,$C11+IF(AND(Picks!F11&lt;&gt;"",Picks!F11=Picks!D11),GAMES_BONUS,0),0))</f>
        <v/>
      </c>
      <c r="F11" s="7">
        <f>IF(Picks!C11="","",IF(Picks!G11=Picks!C11,$C11+IF(AND(Picks!H11&lt;&gt;"",Picks!H11=Picks!D11),GAMES_BONUS,0),0))</f>
        <v/>
      </c>
      <c r="G11" s="7">
        <f>IF(Picks!C11="","",IF(Picks!I11=Picks!C11,$C11+IF(AND(Picks!J11&lt;&gt;"",Picks!J11=Picks!D11),GAMES_BONUS,0),0))</f>
        <v/>
      </c>
      <c r="H11" s="7">
        <f>IF(Picks!C11="","",IF(Picks!K11=Picks!C11,$C11+IF(AND(Picks!L11&lt;&gt;"",Picks!L11=Picks!D11),GAMES_BONUS,0),0))</f>
        <v/>
      </c>
      <c r="I11" s="7">
        <f>IF(Picks!C11="","",IF(Picks!M11=Picks!C11,$C11+IF(AND(Picks!N11&lt;&gt;"",Picks!N11=Picks!D11),GAMES_BONUS,0),0))</f>
        <v/>
      </c>
      <c r="J11" s="7">
        <f>IF(Picks!C11="","",IF(Picks!O11=Picks!C11,$C11+IF(AND(Picks!P11&lt;&gt;"",Picks!P11=Picks!D11),GAMES_BONUS,0),0))</f>
        <v/>
      </c>
      <c r="K11" s="7">
        <f>IF(Picks!C11="","",IF(Picks!Q11=Picks!C11,$C11+IF(AND(Picks!R11&lt;&gt;"",Picks!R11=Picks!D11),GAMES_BONUS,0),0))</f>
        <v/>
      </c>
      <c r="L11" s="7">
        <f>IF(Picks!C11="","",IF(Picks!S11=Picks!C11,$C11+IF(AND(Picks!T11&lt;&gt;"",Picks!T11=Picks!D11),GAMES_BONUS,0),0))</f>
        <v/>
      </c>
      <c r="M11" s="7">
        <f>IF(Picks!C11="","",IF(Picks!U11=Picks!C11,$C11+IF(AND(Picks!V11&lt;&gt;"",Picks!V11=Picks!D11),GAMES_BONUS,0),0))</f>
        <v/>
      </c>
      <c r="N11" s="7">
        <f>IF(Picks!C11="","",IF(Picks!W11=Picks!C11,$C11+IF(AND(Picks!X11&lt;&gt;"",Picks!X11=Picks!D11),GAMES_BONUS,0),0))</f>
        <v/>
      </c>
      <c r="O11" s="7">
        <f>IF(Picks!C11="","",IF(Picks!Y11=Picks!C11,$C11+IF(AND(Picks!Z11&lt;&gt;"",Picks!Z11=Picks!D11),GAMES_BONUS,0),0))</f>
        <v/>
      </c>
      <c r="P11" s="7">
        <f>IF(Picks!C11="","",IF(Picks!AA11=Picks!C11,$C11+IF(AND(Picks!AB11&lt;&gt;"",Picks!AB11=Picks!D11),GAMES_BONUS,0),0))</f>
        <v/>
      </c>
      <c r="Q11" s="7">
        <f>IF(Picks!C11="","",IF(Picks!AC11=Picks!C11,$C11+IF(AND(Picks!AD11&lt;&gt;"",Picks!AD11=Picks!D11),GAMES_BONUS,0),0))</f>
        <v/>
      </c>
      <c r="R11" s="7">
        <f>IF(Picks!C11="","",IF(Picks!AE11=Picks!C11,$C11+IF(AND(Picks!AF11&lt;&gt;"",Picks!AF11=Picks!D11),GAMES_BONUS,0),0))</f>
        <v/>
      </c>
      <c r="S11" s="7">
        <f>IF(Picks!C11="","",IF(Picks!AG11=Picks!C11,$C11+IF(AND(Picks!AH11&lt;&gt;"",Picks!AH11=Picks!D11),GAMES_BONUS,0),0))</f>
        <v/>
      </c>
      <c r="T11" s="7">
        <f>IF(Picks!C11="","",IF(Picks!AI11=Picks!C11,$C11+IF(AND(Picks!AJ11&lt;&gt;"",Picks!AJ11=Picks!D11),GAMES_BONUS,0),0))</f>
        <v/>
      </c>
      <c r="U11" s="7">
        <f>IF(Picks!C11="","",IF(Picks!AK11=Picks!C11,$C11+IF(AND(Picks!AL11&lt;&gt;"",Picks!AL11=Picks!D11),GAMES_BONUS,0),0))</f>
        <v/>
      </c>
      <c r="V11" s="7">
        <f>IF(Picks!C11="","",IF(Picks!AM11=Picks!C11,$C11+IF(AND(Picks!AN11&lt;&gt;"",Picks!AN11=Picks!D11),GAMES_BONUS,0),0))</f>
        <v/>
      </c>
      <c r="W11" s="7">
        <f>IF(Picks!C11="","",IF(Picks!AO11=Picks!C11,$C11+IF(AND(Picks!AP11&lt;&gt;"",Picks!AP11=Picks!D11),GAMES_BONUS,0),0))</f>
        <v/>
      </c>
      <c r="X11" s="7">
        <f>IF(Picks!C11="","",IF(Picks!AQ11=Picks!C11,$C11+IF(AND(Picks!AR11&lt;&gt;"",Picks!AR11=Picks!D11),GAMES_BONUS,0),0))</f>
        <v/>
      </c>
    </row>
    <row r="12">
      <c r="A12" s="8" t="inlineStr">
        <is>
          <t>Round 2</t>
        </is>
      </c>
      <c r="B12" s="8" t="inlineStr">
        <is>
          <t>E6</t>
        </is>
      </c>
      <c r="C12" s="7">
        <f>R2_PTS</f>
        <v/>
      </c>
      <c r="D12" s="7">
        <f>Picks!C12</f>
        <v/>
      </c>
      <c r="E12" s="7">
        <f>IF(Picks!C12="","",IF(Picks!E12=Picks!C12,$C12+IF(AND(Picks!F12&lt;&gt;"",Picks!F12=Picks!D12),GAMES_BONUS,0),0))</f>
        <v/>
      </c>
      <c r="F12" s="7">
        <f>IF(Picks!C12="","",IF(Picks!G12=Picks!C12,$C12+IF(AND(Picks!H12&lt;&gt;"",Picks!H12=Picks!D12),GAMES_BONUS,0),0))</f>
        <v/>
      </c>
      <c r="G12" s="7">
        <f>IF(Picks!C12="","",IF(Picks!I12=Picks!C12,$C12+IF(AND(Picks!J12&lt;&gt;"",Picks!J12=Picks!D12),GAMES_BONUS,0),0))</f>
        <v/>
      </c>
      <c r="H12" s="7">
        <f>IF(Picks!C12="","",IF(Picks!K12=Picks!C12,$C12+IF(AND(Picks!L12&lt;&gt;"",Picks!L12=Picks!D12),GAMES_BONUS,0),0))</f>
        <v/>
      </c>
      <c r="I12" s="7">
        <f>IF(Picks!C12="","",IF(Picks!M12=Picks!C12,$C12+IF(AND(Picks!N12&lt;&gt;"",Picks!N12=Picks!D12),GAMES_BONUS,0),0))</f>
        <v/>
      </c>
      <c r="J12" s="7">
        <f>IF(Picks!C12="","",IF(Picks!O12=Picks!C12,$C12+IF(AND(Picks!P12&lt;&gt;"",Picks!P12=Picks!D12),GAMES_BONUS,0),0))</f>
        <v/>
      </c>
      <c r="K12" s="7">
        <f>IF(Picks!C12="","",IF(Picks!Q12=Picks!C12,$C12+IF(AND(Picks!R12&lt;&gt;"",Picks!R12=Picks!D12),GAMES_BONUS,0),0))</f>
        <v/>
      </c>
      <c r="L12" s="7">
        <f>IF(Picks!C12="","",IF(Picks!S12=Picks!C12,$C12+IF(AND(Picks!T12&lt;&gt;"",Picks!T12=Picks!D12),GAMES_BONUS,0),0))</f>
        <v/>
      </c>
      <c r="M12" s="7">
        <f>IF(Picks!C12="","",IF(Picks!U12=Picks!C12,$C12+IF(AND(Picks!V12&lt;&gt;"",Picks!V12=Picks!D12),GAMES_BONUS,0),0))</f>
        <v/>
      </c>
      <c r="N12" s="7">
        <f>IF(Picks!C12="","",IF(Picks!W12=Picks!C12,$C12+IF(AND(Picks!X12&lt;&gt;"",Picks!X12=Picks!D12),GAMES_BONUS,0),0))</f>
        <v/>
      </c>
      <c r="O12" s="7">
        <f>IF(Picks!C12="","",IF(Picks!Y12=Picks!C12,$C12+IF(AND(Picks!Z12&lt;&gt;"",Picks!Z12=Picks!D12),GAMES_BONUS,0),0))</f>
        <v/>
      </c>
      <c r="P12" s="7">
        <f>IF(Picks!C12="","",IF(Picks!AA12=Picks!C12,$C12+IF(AND(Picks!AB12&lt;&gt;"",Picks!AB12=Picks!D12),GAMES_BONUS,0),0))</f>
        <v/>
      </c>
      <c r="Q12" s="7">
        <f>IF(Picks!C12="","",IF(Picks!AC12=Picks!C12,$C12+IF(AND(Picks!AD12&lt;&gt;"",Picks!AD12=Picks!D12),GAMES_BONUS,0),0))</f>
        <v/>
      </c>
      <c r="R12" s="7">
        <f>IF(Picks!C12="","",IF(Picks!AE12=Picks!C12,$C12+IF(AND(Picks!AF12&lt;&gt;"",Picks!AF12=Picks!D12),GAMES_BONUS,0),0))</f>
        <v/>
      </c>
      <c r="S12" s="7">
        <f>IF(Picks!C12="","",IF(Picks!AG12=Picks!C12,$C12+IF(AND(Picks!AH12&lt;&gt;"",Picks!AH12=Picks!D12),GAMES_BONUS,0),0))</f>
        <v/>
      </c>
      <c r="T12" s="7">
        <f>IF(Picks!C12="","",IF(Picks!AI12=Picks!C12,$C12+IF(AND(Picks!AJ12&lt;&gt;"",Picks!AJ12=Picks!D12),GAMES_BONUS,0),0))</f>
        <v/>
      </c>
      <c r="U12" s="7">
        <f>IF(Picks!C12="","",IF(Picks!AK12=Picks!C12,$C12+IF(AND(Picks!AL12&lt;&gt;"",Picks!AL12=Picks!D12),GAMES_BONUS,0),0))</f>
        <v/>
      </c>
      <c r="V12" s="7">
        <f>IF(Picks!C12="","",IF(Picks!AM12=Picks!C12,$C12+IF(AND(Picks!AN12&lt;&gt;"",Picks!AN12=Picks!D12),GAMES_BONUS,0),0))</f>
        <v/>
      </c>
      <c r="W12" s="7">
        <f>IF(Picks!C12="","",IF(Picks!AO12=Picks!C12,$C12+IF(AND(Picks!AP12&lt;&gt;"",Picks!AP12=Picks!D12),GAMES_BONUS,0),0))</f>
        <v/>
      </c>
      <c r="X12" s="7">
        <f>IF(Picks!C12="","",IF(Picks!AQ12=Picks!C12,$C12+IF(AND(Picks!AR12&lt;&gt;"",Picks!AR12=Picks!D12),GAMES_BONUS,0),0))</f>
        <v/>
      </c>
    </row>
    <row r="13">
      <c r="A13" s="8" t="inlineStr">
        <is>
          <t>Round 2</t>
        </is>
      </c>
      <c r="B13" s="8" t="inlineStr">
        <is>
          <t>W5</t>
        </is>
      </c>
      <c r="C13" s="7">
        <f>R2_PTS</f>
        <v/>
      </c>
      <c r="D13" s="7">
        <f>Picks!C13</f>
        <v/>
      </c>
      <c r="E13" s="7">
        <f>IF(Picks!C13="","",IF(Picks!E13=Picks!C13,$C13+IF(AND(Picks!F13&lt;&gt;"",Picks!F13=Picks!D13),GAMES_BONUS,0),0))</f>
        <v/>
      </c>
      <c r="F13" s="7">
        <f>IF(Picks!C13="","",IF(Picks!G13=Picks!C13,$C13+IF(AND(Picks!H13&lt;&gt;"",Picks!H13=Picks!D13),GAMES_BONUS,0),0))</f>
        <v/>
      </c>
      <c r="G13" s="7">
        <f>IF(Picks!C13="","",IF(Picks!I13=Picks!C13,$C13+IF(AND(Picks!J13&lt;&gt;"",Picks!J13=Picks!D13),GAMES_BONUS,0),0))</f>
        <v/>
      </c>
      <c r="H13" s="7">
        <f>IF(Picks!C13="","",IF(Picks!K13=Picks!C13,$C13+IF(AND(Picks!L13&lt;&gt;"",Picks!L13=Picks!D13),GAMES_BONUS,0),0))</f>
        <v/>
      </c>
      <c r="I13" s="7">
        <f>IF(Picks!C13="","",IF(Picks!M13=Picks!C13,$C13+IF(AND(Picks!N13&lt;&gt;"",Picks!N13=Picks!D13),GAMES_BONUS,0),0))</f>
        <v/>
      </c>
      <c r="J13" s="7">
        <f>IF(Picks!C13="","",IF(Picks!O13=Picks!C13,$C13+IF(AND(Picks!P13&lt;&gt;"",Picks!P13=Picks!D13),GAMES_BONUS,0),0))</f>
        <v/>
      </c>
      <c r="K13" s="7">
        <f>IF(Picks!C13="","",IF(Picks!Q13=Picks!C13,$C13+IF(AND(Picks!R13&lt;&gt;"",Picks!R13=Picks!D13),GAMES_BONUS,0),0))</f>
        <v/>
      </c>
      <c r="L13" s="7">
        <f>IF(Picks!C13="","",IF(Picks!S13=Picks!C13,$C13+IF(AND(Picks!T13&lt;&gt;"",Picks!T13=Picks!D13),GAMES_BONUS,0),0))</f>
        <v/>
      </c>
      <c r="M13" s="7">
        <f>IF(Picks!C13="","",IF(Picks!U13=Picks!C13,$C13+IF(AND(Picks!V13&lt;&gt;"",Picks!V13=Picks!D13),GAMES_BONUS,0),0))</f>
        <v/>
      </c>
      <c r="N13" s="7">
        <f>IF(Picks!C13="","",IF(Picks!W13=Picks!C13,$C13+IF(AND(Picks!X13&lt;&gt;"",Picks!X13=Picks!D13),GAMES_BONUS,0),0))</f>
        <v/>
      </c>
      <c r="O13" s="7">
        <f>IF(Picks!C13="","",IF(Picks!Y13=Picks!C13,$C13+IF(AND(Picks!Z13&lt;&gt;"",Picks!Z13=Picks!D13),GAMES_BONUS,0),0))</f>
        <v/>
      </c>
      <c r="P13" s="7">
        <f>IF(Picks!C13="","",IF(Picks!AA13=Picks!C13,$C13+IF(AND(Picks!AB13&lt;&gt;"",Picks!AB13=Picks!D13),GAMES_BONUS,0),0))</f>
        <v/>
      </c>
      <c r="Q13" s="7">
        <f>IF(Picks!C13="","",IF(Picks!AC13=Picks!C13,$C13+IF(AND(Picks!AD13&lt;&gt;"",Picks!AD13=Picks!D13),GAMES_BONUS,0),0))</f>
        <v/>
      </c>
      <c r="R13" s="7">
        <f>IF(Picks!C13="","",IF(Picks!AE13=Picks!C13,$C13+IF(AND(Picks!AF13&lt;&gt;"",Picks!AF13=Picks!D13),GAMES_BONUS,0),0))</f>
        <v/>
      </c>
      <c r="S13" s="7">
        <f>IF(Picks!C13="","",IF(Picks!AG13=Picks!C13,$C13+IF(AND(Picks!AH13&lt;&gt;"",Picks!AH13=Picks!D13),GAMES_BONUS,0),0))</f>
        <v/>
      </c>
      <c r="T13" s="7">
        <f>IF(Picks!C13="","",IF(Picks!AI13=Picks!C13,$C13+IF(AND(Picks!AJ13&lt;&gt;"",Picks!AJ13=Picks!D13),GAMES_BONUS,0),0))</f>
        <v/>
      </c>
      <c r="U13" s="7">
        <f>IF(Picks!C13="","",IF(Picks!AK13=Picks!C13,$C13+IF(AND(Picks!AL13&lt;&gt;"",Picks!AL13=Picks!D13),GAMES_BONUS,0),0))</f>
        <v/>
      </c>
      <c r="V13" s="7">
        <f>IF(Picks!C13="","",IF(Picks!AM13=Picks!C13,$C13+IF(AND(Picks!AN13&lt;&gt;"",Picks!AN13=Picks!D13),GAMES_BONUS,0),0))</f>
        <v/>
      </c>
      <c r="W13" s="7">
        <f>IF(Picks!C13="","",IF(Picks!AO13=Picks!C13,$C13+IF(AND(Picks!AP13&lt;&gt;"",Picks!AP13=Picks!D13),GAMES_BONUS,0),0))</f>
        <v/>
      </c>
      <c r="X13" s="7">
        <f>IF(Picks!C13="","",IF(Picks!AQ13=Picks!C13,$C13+IF(AND(Picks!AR13&lt;&gt;"",Picks!AR13=Picks!D13),GAMES_BONUS,0),0))</f>
        <v/>
      </c>
    </row>
    <row r="14">
      <c r="A14" s="8" t="inlineStr">
        <is>
          <t>Round 2</t>
        </is>
      </c>
      <c r="B14" s="8" t="inlineStr">
        <is>
          <t>W6</t>
        </is>
      </c>
      <c r="C14" s="7">
        <f>R2_PTS</f>
        <v/>
      </c>
      <c r="D14" s="7">
        <f>Picks!C14</f>
        <v/>
      </c>
      <c r="E14" s="7">
        <f>IF(Picks!C14="","",IF(Picks!E14=Picks!C14,$C14+IF(AND(Picks!F14&lt;&gt;"",Picks!F14=Picks!D14),GAMES_BONUS,0),0))</f>
        <v/>
      </c>
      <c r="F14" s="7">
        <f>IF(Picks!C14="","",IF(Picks!G14=Picks!C14,$C14+IF(AND(Picks!H14&lt;&gt;"",Picks!H14=Picks!D14),GAMES_BONUS,0),0))</f>
        <v/>
      </c>
      <c r="G14" s="7">
        <f>IF(Picks!C14="","",IF(Picks!I14=Picks!C14,$C14+IF(AND(Picks!J14&lt;&gt;"",Picks!J14=Picks!D14),GAMES_BONUS,0),0))</f>
        <v/>
      </c>
      <c r="H14" s="7">
        <f>IF(Picks!C14="","",IF(Picks!K14=Picks!C14,$C14+IF(AND(Picks!L14&lt;&gt;"",Picks!L14=Picks!D14),GAMES_BONUS,0),0))</f>
        <v/>
      </c>
      <c r="I14" s="7">
        <f>IF(Picks!C14="","",IF(Picks!M14=Picks!C14,$C14+IF(AND(Picks!N14&lt;&gt;"",Picks!N14=Picks!D14),GAMES_BONUS,0),0))</f>
        <v/>
      </c>
      <c r="J14" s="7">
        <f>IF(Picks!C14="","",IF(Picks!O14=Picks!C14,$C14+IF(AND(Picks!P14&lt;&gt;"",Picks!P14=Picks!D14),GAMES_BONUS,0),0))</f>
        <v/>
      </c>
      <c r="K14" s="7">
        <f>IF(Picks!C14="","",IF(Picks!Q14=Picks!C14,$C14+IF(AND(Picks!R14&lt;&gt;"",Picks!R14=Picks!D14),GAMES_BONUS,0),0))</f>
        <v/>
      </c>
      <c r="L14" s="7">
        <f>IF(Picks!C14="","",IF(Picks!S14=Picks!C14,$C14+IF(AND(Picks!T14&lt;&gt;"",Picks!T14=Picks!D14),GAMES_BONUS,0),0))</f>
        <v/>
      </c>
      <c r="M14" s="7">
        <f>IF(Picks!C14="","",IF(Picks!U14=Picks!C14,$C14+IF(AND(Picks!V14&lt;&gt;"",Picks!V14=Picks!D14),GAMES_BONUS,0),0))</f>
        <v/>
      </c>
      <c r="N14" s="7">
        <f>IF(Picks!C14="","",IF(Picks!W14=Picks!C14,$C14+IF(AND(Picks!X14&lt;&gt;"",Picks!X14=Picks!D14),GAMES_BONUS,0),0))</f>
        <v/>
      </c>
      <c r="O14" s="7">
        <f>IF(Picks!C14="","",IF(Picks!Y14=Picks!C14,$C14+IF(AND(Picks!Z14&lt;&gt;"",Picks!Z14=Picks!D14),GAMES_BONUS,0),0))</f>
        <v/>
      </c>
      <c r="P14" s="7">
        <f>IF(Picks!C14="","",IF(Picks!AA14=Picks!C14,$C14+IF(AND(Picks!AB14&lt;&gt;"",Picks!AB14=Picks!D14),GAMES_BONUS,0),0))</f>
        <v/>
      </c>
      <c r="Q14" s="7">
        <f>IF(Picks!C14="","",IF(Picks!AC14=Picks!C14,$C14+IF(AND(Picks!AD14&lt;&gt;"",Picks!AD14=Picks!D14),GAMES_BONUS,0),0))</f>
        <v/>
      </c>
      <c r="R14" s="7">
        <f>IF(Picks!C14="","",IF(Picks!AE14=Picks!C14,$C14+IF(AND(Picks!AF14&lt;&gt;"",Picks!AF14=Picks!D14),GAMES_BONUS,0),0))</f>
        <v/>
      </c>
      <c r="S14" s="7">
        <f>IF(Picks!C14="","",IF(Picks!AG14=Picks!C14,$C14+IF(AND(Picks!AH14&lt;&gt;"",Picks!AH14=Picks!D14),GAMES_BONUS,0),0))</f>
        <v/>
      </c>
      <c r="T14" s="7">
        <f>IF(Picks!C14="","",IF(Picks!AI14=Picks!C14,$C14+IF(AND(Picks!AJ14&lt;&gt;"",Picks!AJ14=Picks!D14),GAMES_BONUS,0),0))</f>
        <v/>
      </c>
      <c r="U14" s="7">
        <f>IF(Picks!C14="","",IF(Picks!AK14=Picks!C14,$C14+IF(AND(Picks!AL14&lt;&gt;"",Picks!AL14=Picks!D14),GAMES_BONUS,0),0))</f>
        <v/>
      </c>
      <c r="V14" s="7">
        <f>IF(Picks!C14="","",IF(Picks!AM14=Picks!C14,$C14+IF(AND(Picks!AN14&lt;&gt;"",Picks!AN14=Picks!D14),GAMES_BONUS,0),0))</f>
        <v/>
      </c>
      <c r="W14" s="7">
        <f>IF(Picks!C14="","",IF(Picks!AO14=Picks!C14,$C14+IF(AND(Picks!AP14&lt;&gt;"",Picks!AP14=Picks!D14),GAMES_BONUS,0),0))</f>
        <v/>
      </c>
      <c r="X14" s="7">
        <f>IF(Picks!C14="","",IF(Picks!AQ14=Picks!C14,$C14+IF(AND(Picks!AR14&lt;&gt;"",Picks!AR14=Picks!D14),GAMES_BONUS,0),0))</f>
        <v/>
      </c>
    </row>
    <row r="15">
      <c r="A15" s="9" t="inlineStr">
        <is>
          <t>Conference Final</t>
        </is>
      </c>
      <c r="B15" s="9" t="inlineStr">
        <is>
          <t>E7</t>
        </is>
      </c>
      <c r="C15" s="7">
        <f>CF_PTS</f>
        <v/>
      </c>
      <c r="D15" s="7">
        <f>Picks!C15</f>
        <v/>
      </c>
      <c r="E15" s="7">
        <f>IF(Picks!C15="","",IF(Picks!E15=Picks!C15,$C15+IF(AND(Picks!F15&lt;&gt;"",Picks!F15=Picks!D15),GAMES_BONUS,0),0))</f>
        <v/>
      </c>
      <c r="F15" s="7">
        <f>IF(Picks!C15="","",IF(Picks!G15=Picks!C15,$C15+IF(AND(Picks!H15&lt;&gt;"",Picks!H15=Picks!D15),GAMES_BONUS,0),0))</f>
        <v/>
      </c>
      <c r="G15" s="7">
        <f>IF(Picks!C15="","",IF(Picks!I15=Picks!C15,$C15+IF(AND(Picks!J15&lt;&gt;"",Picks!J15=Picks!D15),GAMES_BONUS,0),0))</f>
        <v/>
      </c>
      <c r="H15" s="7">
        <f>IF(Picks!C15="","",IF(Picks!K15=Picks!C15,$C15+IF(AND(Picks!L15&lt;&gt;"",Picks!L15=Picks!D15),GAMES_BONUS,0),0))</f>
        <v/>
      </c>
      <c r="I15" s="7">
        <f>IF(Picks!C15="","",IF(Picks!M15=Picks!C15,$C15+IF(AND(Picks!N15&lt;&gt;"",Picks!N15=Picks!D15),GAMES_BONUS,0),0))</f>
        <v/>
      </c>
      <c r="J15" s="7">
        <f>IF(Picks!C15="","",IF(Picks!O15=Picks!C15,$C15+IF(AND(Picks!P15&lt;&gt;"",Picks!P15=Picks!D15),GAMES_BONUS,0),0))</f>
        <v/>
      </c>
      <c r="K15" s="7">
        <f>IF(Picks!C15="","",IF(Picks!Q15=Picks!C15,$C15+IF(AND(Picks!R15&lt;&gt;"",Picks!R15=Picks!D15),GAMES_BONUS,0),0))</f>
        <v/>
      </c>
      <c r="L15" s="7">
        <f>IF(Picks!C15="","",IF(Picks!S15=Picks!C15,$C15+IF(AND(Picks!T15&lt;&gt;"",Picks!T15=Picks!D15),GAMES_BONUS,0),0))</f>
        <v/>
      </c>
      <c r="M15" s="7">
        <f>IF(Picks!C15="","",IF(Picks!U15=Picks!C15,$C15+IF(AND(Picks!V15&lt;&gt;"",Picks!V15=Picks!D15),GAMES_BONUS,0),0))</f>
        <v/>
      </c>
      <c r="N15" s="7">
        <f>IF(Picks!C15="","",IF(Picks!W15=Picks!C15,$C15+IF(AND(Picks!X15&lt;&gt;"",Picks!X15=Picks!D15),GAMES_BONUS,0),0))</f>
        <v/>
      </c>
      <c r="O15" s="7">
        <f>IF(Picks!C15="","",IF(Picks!Y15=Picks!C15,$C15+IF(AND(Picks!Z15&lt;&gt;"",Picks!Z15=Picks!D15),GAMES_BONUS,0),0))</f>
        <v/>
      </c>
      <c r="P15" s="7">
        <f>IF(Picks!C15="","",IF(Picks!AA15=Picks!C15,$C15+IF(AND(Picks!AB15&lt;&gt;"",Picks!AB15=Picks!D15),GAMES_BONUS,0),0))</f>
        <v/>
      </c>
      <c r="Q15" s="7">
        <f>IF(Picks!C15="","",IF(Picks!AC15=Picks!C15,$C15+IF(AND(Picks!AD15&lt;&gt;"",Picks!AD15=Picks!D15),GAMES_BONUS,0),0))</f>
        <v/>
      </c>
      <c r="R15" s="7">
        <f>IF(Picks!C15="","",IF(Picks!AE15=Picks!C15,$C15+IF(AND(Picks!AF15&lt;&gt;"",Picks!AF15=Picks!D15),GAMES_BONUS,0),0))</f>
        <v/>
      </c>
      <c r="S15" s="7">
        <f>IF(Picks!C15="","",IF(Picks!AG15=Picks!C15,$C15+IF(AND(Picks!AH15&lt;&gt;"",Picks!AH15=Picks!D15),GAMES_BONUS,0),0))</f>
        <v/>
      </c>
      <c r="T15" s="7">
        <f>IF(Picks!C15="","",IF(Picks!AI15=Picks!C15,$C15+IF(AND(Picks!AJ15&lt;&gt;"",Picks!AJ15=Picks!D15),GAMES_BONUS,0),0))</f>
        <v/>
      </c>
      <c r="U15" s="7">
        <f>IF(Picks!C15="","",IF(Picks!AK15=Picks!C15,$C15+IF(AND(Picks!AL15&lt;&gt;"",Picks!AL15=Picks!D15),GAMES_BONUS,0),0))</f>
        <v/>
      </c>
      <c r="V15" s="7">
        <f>IF(Picks!C15="","",IF(Picks!AM15=Picks!C15,$C15+IF(AND(Picks!AN15&lt;&gt;"",Picks!AN15=Picks!D15),GAMES_BONUS,0),0))</f>
        <v/>
      </c>
      <c r="W15" s="7">
        <f>IF(Picks!C15="","",IF(Picks!AO15=Picks!C15,$C15+IF(AND(Picks!AP15&lt;&gt;"",Picks!AP15=Picks!D15),GAMES_BONUS,0),0))</f>
        <v/>
      </c>
      <c r="X15" s="7">
        <f>IF(Picks!C15="","",IF(Picks!AQ15=Picks!C15,$C15+IF(AND(Picks!AR15&lt;&gt;"",Picks!AR15=Picks!D15),GAMES_BONUS,0),0))</f>
        <v/>
      </c>
    </row>
    <row r="16">
      <c r="A16" s="9" t="inlineStr">
        <is>
          <t>Conference Final</t>
        </is>
      </c>
      <c r="B16" s="9" t="inlineStr">
        <is>
          <t>W7</t>
        </is>
      </c>
      <c r="C16" s="7">
        <f>CF_PTS</f>
        <v/>
      </c>
      <c r="D16" s="7">
        <f>Picks!C16</f>
        <v/>
      </c>
      <c r="E16" s="7">
        <f>IF(Picks!C16="","",IF(Picks!E16=Picks!C16,$C16+IF(AND(Picks!F16&lt;&gt;"",Picks!F16=Picks!D16),GAMES_BONUS,0),0))</f>
        <v/>
      </c>
      <c r="F16" s="7">
        <f>IF(Picks!C16="","",IF(Picks!G16=Picks!C16,$C16+IF(AND(Picks!H16&lt;&gt;"",Picks!H16=Picks!D16),GAMES_BONUS,0),0))</f>
        <v/>
      </c>
      <c r="G16" s="7">
        <f>IF(Picks!C16="","",IF(Picks!I16=Picks!C16,$C16+IF(AND(Picks!J16&lt;&gt;"",Picks!J16=Picks!D16),GAMES_BONUS,0),0))</f>
        <v/>
      </c>
      <c r="H16" s="7">
        <f>IF(Picks!C16="","",IF(Picks!K16=Picks!C16,$C16+IF(AND(Picks!L16&lt;&gt;"",Picks!L16=Picks!D16),GAMES_BONUS,0),0))</f>
        <v/>
      </c>
      <c r="I16" s="7">
        <f>IF(Picks!C16="","",IF(Picks!M16=Picks!C16,$C16+IF(AND(Picks!N16&lt;&gt;"",Picks!N16=Picks!D16),GAMES_BONUS,0),0))</f>
        <v/>
      </c>
      <c r="J16" s="7">
        <f>IF(Picks!C16="","",IF(Picks!O16=Picks!C16,$C16+IF(AND(Picks!P16&lt;&gt;"",Picks!P16=Picks!D16),GAMES_BONUS,0),0))</f>
        <v/>
      </c>
      <c r="K16" s="7">
        <f>IF(Picks!C16="","",IF(Picks!Q16=Picks!C16,$C16+IF(AND(Picks!R16&lt;&gt;"",Picks!R16=Picks!D16),GAMES_BONUS,0),0))</f>
        <v/>
      </c>
      <c r="L16" s="7">
        <f>IF(Picks!C16="","",IF(Picks!S16=Picks!C16,$C16+IF(AND(Picks!T16&lt;&gt;"",Picks!T16=Picks!D16),GAMES_BONUS,0),0))</f>
        <v/>
      </c>
      <c r="M16" s="7">
        <f>IF(Picks!C16="","",IF(Picks!U16=Picks!C16,$C16+IF(AND(Picks!V16&lt;&gt;"",Picks!V16=Picks!D16),GAMES_BONUS,0),0))</f>
        <v/>
      </c>
      <c r="N16" s="7">
        <f>IF(Picks!C16="","",IF(Picks!W16=Picks!C16,$C16+IF(AND(Picks!X16&lt;&gt;"",Picks!X16=Picks!D16),GAMES_BONUS,0),0))</f>
        <v/>
      </c>
      <c r="O16" s="7">
        <f>IF(Picks!C16="","",IF(Picks!Y16=Picks!C16,$C16+IF(AND(Picks!Z16&lt;&gt;"",Picks!Z16=Picks!D16),GAMES_BONUS,0),0))</f>
        <v/>
      </c>
      <c r="P16" s="7">
        <f>IF(Picks!C16="","",IF(Picks!AA16=Picks!C16,$C16+IF(AND(Picks!AB16&lt;&gt;"",Picks!AB16=Picks!D16),GAMES_BONUS,0),0))</f>
        <v/>
      </c>
      <c r="Q16" s="7">
        <f>IF(Picks!C16="","",IF(Picks!AC16=Picks!C16,$C16+IF(AND(Picks!AD16&lt;&gt;"",Picks!AD16=Picks!D16),GAMES_BONUS,0),0))</f>
        <v/>
      </c>
      <c r="R16" s="7">
        <f>IF(Picks!C16="","",IF(Picks!AE16=Picks!C16,$C16+IF(AND(Picks!AF16&lt;&gt;"",Picks!AF16=Picks!D16),GAMES_BONUS,0),0))</f>
        <v/>
      </c>
      <c r="S16" s="7">
        <f>IF(Picks!C16="","",IF(Picks!AG16=Picks!C16,$C16+IF(AND(Picks!AH16&lt;&gt;"",Picks!AH16=Picks!D16),GAMES_BONUS,0),0))</f>
        <v/>
      </c>
      <c r="T16" s="7">
        <f>IF(Picks!C16="","",IF(Picks!AI16=Picks!C16,$C16+IF(AND(Picks!AJ16&lt;&gt;"",Picks!AJ16=Picks!D16),GAMES_BONUS,0),0))</f>
        <v/>
      </c>
      <c r="U16" s="7">
        <f>IF(Picks!C16="","",IF(Picks!AK16=Picks!C16,$C16+IF(AND(Picks!AL16&lt;&gt;"",Picks!AL16=Picks!D16),GAMES_BONUS,0),0))</f>
        <v/>
      </c>
      <c r="V16" s="7">
        <f>IF(Picks!C16="","",IF(Picks!AM16=Picks!C16,$C16+IF(AND(Picks!AN16&lt;&gt;"",Picks!AN16=Picks!D16),GAMES_BONUS,0),0))</f>
        <v/>
      </c>
      <c r="W16" s="7">
        <f>IF(Picks!C16="","",IF(Picks!AO16=Picks!C16,$C16+IF(AND(Picks!AP16&lt;&gt;"",Picks!AP16=Picks!D16),GAMES_BONUS,0),0))</f>
        <v/>
      </c>
      <c r="X16" s="7">
        <f>IF(Picks!C16="","",IF(Picks!AQ16=Picks!C16,$C16+IF(AND(Picks!AR16&lt;&gt;"",Picks!AR16=Picks!D16),GAMES_BONUS,0),0))</f>
        <v/>
      </c>
    </row>
    <row r="17">
      <c r="A17" s="10" t="inlineStr">
        <is>
          <t>Stanley Cup Final</t>
        </is>
      </c>
      <c r="B17" s="10" t="inlineStr">
        <is>
          <t>SCF</t>
        </is>
      </c>
      <c r="C17" s="7">
        <f>SCF_PTS</f>
        <v/>
      </c>
      <c r="D17" s="7">
        <f>Picks!C17</f>
        <v/>
      </c>
      <c r="E17" s="7">
        <f>IF(Picks!C17="","",IF(Picks!E17=Picks!C17,$C17+IF(AND(Picks!F17&lt;&gt;"",Picks!F17=Picks!D17),GAMES_BONUS,0),0))</f>
        <v/>
      </c>
      <c r="F17" s="7">
        <f>IF(Picks!C17="","",IF(Picks!G17=Picks!C17,$C17+IF(AND(Picks!H17&lt;&gt;"",Picks!H17=Picks!D17),GAMES_BONUS,0),0))</f>
        <v/>
      </c>
      <c r="G17" s="7">
        <f>IF(Picks!C17="","",IF(Picks!I17=Picks!C17,$C17+IF(AND(Picks!J17&lt;&gt;"",Picks!J17=Picks!D17),GAMES_BONUS,0),0))</f>
        <v/>
      </c>
      <c r="H17" s="7">
        <f>IF(Picks!C17="","",IF(Picks!K17=Picks!C17,$C17+IF(AND(Picks!L17&lt;&gt;"",Picks!L17=Picks!D17),GAMES_BONUS,0),0))</f>
        <v/>
      </c>
      <c r="I17" s="7">
        <f>IF(Picks!C17="","",IF(Picks!M17=Picks!C17,$C17+IF(AND(Picks!N17&lt;&gt;"",Picks!N17=Picks!D17),GAMES_BONUS,0),0))</f>
        <v/>
      </c>
      <c r="J17" s="7">
        <f>IF(Picks!C17="","",IF(Picks!O17=Picks!C17,$C17+IF(AND(Picks!P17&lt;&gt;"",Picks!P17=Picks!D17),GAMES_BONUS,0),0))</f>
        <v/>
      </c>
      <c r="K17" s="7">
        <f>IF(Picks!C17="","",IF(Picks!Q17=Picks!C17,$C17+IF(AND(Picks!R17&lt;&gt;"",Picks!R17=Picks!D17),GAMES_BONUS,0),0))</f>
        <v/>
      </c>
      <c r="L17" s="7">
        <f>IF(Picks!C17="","",IF(Picks!S17=Picks!C17,$C17+IF(AND(Picks!T17&lt;&gt;"",Picks!T17=Picks!D17),GAMES_BONUS,0),0))</f>
        <v/>
      </c>
      <c r="M17" s="7">
        <f>IF(Picks!C17="","",IF(Picks!U17=Picks!C17,$C17+IF(AND(Picks!V17&lt;&gt;"",Picks!V17=Picks!D17),GAMES_BONUS,0),0))</f>
        <v/>
      </c>
      <c r="N17" s="7">
        <f>IF(Picks!C17="","",IF(Picks!W17=Picks!C17,$C17+IF(AND(Picks!X17&lt;&gt;"",Picks!X17=Picks!D17),GAMES_BONUS,0),0))</f>
        <v/>
      </c>
      <c r="O17" s="7">
        <f>IF(Picks!C17="","",IF(Picks!Y17=Picks!C17,$C17+IF(AND(Picks!Z17&lt;&gt;"",Picks!Z17=Picks!D17),GAMES_BONUS,0),0))</f>
        <v/>
      </c>
      <c r="P17" s="7">
        <f>IF(Picks!C17="","",IF(Picks!AA17=Picks!C17,$C17+IF(AND(Picks!AB17&lt;&gt;"",Picks!AB17=Picks!D17),GAMES_BONUS,0),0))</f>
        <v/>
      </c>
      <c r="Q17" s="7">
        <f>IF(Picks!C17="","",IF(Picks!AC17=Picks!C17,$C17+IF(AND(Picks!AD17&lt;&gt;"",Picks!AD17=Picks!D17),GAMES_BONUS,0),0))</f>
        <v/>
      </c>
      <c r="R17" s="7">
        <f>IF(Picks!C17="","",IF(Picks!AE17=Picks!C17,$C17+IF(AND(Picks!AF17&lt;&gt;"",Picks!AF17=Picks!D17),GAMES_BONUS,0),0))</f>
        <v/>
      </c>
      <c r="S17" s="7">
        <f>IF(Picks!C17="","",IF(Picks!AG17=Picks!C17,$C17+IF(AND(Picks!AH17&lt;&gt;"",Picks!AH17=Picks!D17),GAMES_BONUS,0),0))</f>
        <v/>
      </c>
      <c r="T17" s="7">
        <f>IF(Picks!C17="","",IF(Picks!AI17=Picks!C17,$C17+IF(AND(Picks!AJ17&lt;&gt;"",Picks!AJ17=Picks!D17),GAMES_BONUS,0),0))</f>
        <v/>
      </c>
      <c r="U17" s="7">
        <f>IF(Picks!C17="","",IF(Picks!AK17=Picks!C17,$C17+IF(AND(Picks!AL17&lt;&gt;"",Picks!AL17=Picks!D17),GAMES_BONUS,0),0))</f>
        <v/>
      </c>
      <c r="V17" s="7">
        <f>IF(Picks!C17="","",IF(Picks!AM17=Picks!C17,$C17+IF(AND(Picks!AN17&lt;&gt;"",Picks!AN17=Picks!D17),GAMES_BONUS,0),0))</f>
        <v/>
      </c>
      <c r="W17" s="7">
        <f>IF(Picks!C17="","",IF(Picks!AO17=Picks!C17,$C17+IF(AND(Picks!AP17&lt;&gt;"",Picks!AP17=Picks!D17),GAMES_BONUS,0),0))</f>
        <v/>
      </c>
      <c r="X17" s="7">
        <f>IF(Picks!C17="","",IF(Picks!AQ17=Picks!C17,$C17+IF(AND(Picks!AR17&lt;&gt;"",Picks!AR17=Picks!D17),GAMES_BONUS,0),0))</f>
        <v/>
      </c>
    </row>
    <row r="18">
      <c r="A18" s="16" t="inlineStr">
        <is>
          <t>TOTAL</t>
        </is>
      </c>
      <c r="E18" s="17">
        <f>SUM(E3:E17)</f>
        <v/>
      </c>
      <c r="F18" s="17">
        <f>SUM(F3:F17)</f>
        <v/>
      </c>
      <c r="G18" s="17">
        <f>SUM(G3:G17)</f>
        <v/>
      </c>
      <c r="H18" s="17">
        <f>SUM(H3:H17)</f>
        <v/>
      </c>
      <c r="I18" s="17">
        <f>SUM(I3:I17)</f>
        <v/>
      </c>
      <c r="J18" s="17">
        <f>SUM(J3:J17)</f>
        <v/>
      </c>
      <c r="K18" s="17">
        <f>SUM(K3:K17)</f>
        <v/>
      </c>
      <c r="L18" s="17">
        <f>SUM(L3:L17)</f>
        <v/>
      </c>
      <c r="M18" s="17">
        <f>SUM(M3:M17)</f>
        <v/>
      </c>
      <c r="N18" s="17">
        <f>SUM(N3:N17)</f>
        <v/>
      </c>
      <c r="O18" s="17">
        <f>SUM(O3:O17)</f>
        <v/>
      </c>
      <c r="P18" s="17">
        <f>SUM(P3:P17)</f>
        <v/>
      </c>
      <c r="Q18" s="17">
        <f>SUM(Q3:Q17)</f>
        <v/>
      </c>
      <c r="R18" s="17">
        <f>SUM(R3:R17)</f>
        <v/>
      </c>
      <c r="S18" s="17">
        <f>SUM(S3:S17)</f>
        <v/>
      </c>
      <c r="T18" s="17">
        <f>SUM(T3:T17)</f>
        <v/>
      </c>
      <c r="U18" s="17">
        <f>SUM(U3:U17)</f>
        <v/>
      </c>
      <c r="V18" s="17">
        <f>SUM(V3:V17)</f>
        <v/>
      </c>
      <c r="W18" s="17">
        <f>SUM(W3:W17)</f>
        <v/>
      </c>
      <c r="X18" s="17">
        <f>SUM(X3:X17)</f>
        <v/>
      </c>
    </row>
    <row r="19" hidden="1">
      <c r="A19" s="18" t="inlineStr">
        <is>
          <t>Tiebreak sort key (auto)</t>
        </is>
      </c>
      <c r="E19" s="19">
        <f>E18*1000000-IF(ISNUMBER(E20),E20*1000,0)-COLUMN()</f>
        <v/>
      </c>
      <c r="F19" s="19">
        <f>F18*1000000-IF(ISNUMBER(F20),F20*1000,0)-COLUMN()</f>
        <v/>
      </c>
      <c r="G19" s="19">
        <f>G18*1000000-IF(ISNUMBER(G20),G20*1000,0)-COLUMN()</f>
        <v/>
      </c>
      <c r="H19" s="19">
        <f>H18*1000000-IF(ISNUMBER(H20),H20*1000,0)-COLUMN()</f>
        <v/>
      </c>
      <c r="I19" s="19">
        <f>I18*1000000-IF(ISNUMBER(I20),I20*1000,0)-COLUMN()</f>
        <v/>
      </c>
      <c r="J19" s="19">
        <f>J18*1000000-IF(ISNUMBER(J20),J20*1000,0)-COLUMN()</f>
        <v/>
      </c>
      <c r="K19" s="19">
        <f>K18*1000000-IF(ISNUMBER(K20),K20*1000,0)-COLUMN()</f>
        <v/>
      </c>
      <c r="L19" s="19">
        <f>L18*1000000-IF(ISNUMBER(L20),L20*1000,0)-COLUMN()</f>
        <v/>
      </c>
      <c r="M19" s="19">
        <f>M18*1000000-IF(ISNUMBER(M20),M20*1000,0)-COLUMN()</f>
        <v/>
      </c>
      <c r="N19" s="19">
        <f>N18*1000000-IF(ISNUMBER(N20),N20*1000,0)-COLUMN()</f>
        <v/>
      </c>
      <c r="O19" s="19">
        <f>O18*1000000-IF(ISNUMBER(O20),O20*1000,0)-COLUMN()</f>
        <v/>
      </c>
      <c r="P19" s="19">
        <f>P18*1000000-IF(ISNUMBER(P20),P20*1000,0)-COLUMN()</f>
        <v/>
      </c>
      <c r="Q19" s="19">
        <f>Q18*1000000-IF(ISNUMBER(Q20),Q20*1000,0)-COLUMN()</f>
        <v/>
      </c>
      <c r="R19" s="19">
        <f>R18*1000000-IF(ISNUMBER(R20),R20*1000,0)-COLUMN()</f>
        <v/>
      </c>
      <c r="S19" s="19">
        <f>S18*1000000-IF(ISNUMBER(S20),S20*1000,0)-COLUMN()</f>
        <v/>
      </c>
      <c r="T19" s="19">
        <f>T18*1000000-IF(ISNUMBER(T20),T20*1000,0)-COLUMN()</f>
        <v/>
      </c>
      <c r="U19" s="19">
        <f>U18*1000000-IF(ISNUMBER(U20),U20*1000,0)-COLUMN()</f>
        <v/>
      </c>
      <c r="V19" s="19">
        <f>V18*1000000-IF(ISNUMBER(V20),V20*1000,0)-COLUMN()</f>
        <v/>
      </c>
      <c r="W19" s="19">
        <f>W18*1000000-IF(ISNUMBER(W20),W20*1000,0)-COLUMN()</f>
        <v/>
      </c>
      <c r="X19" s="19">
        <f>X18*1000000-IF(ISNUMBER(X20),X20*1000,0)-COLUMN()</f>
        <v/>
      </c>
    </row>
    <row r="20">
      <c r="A20" s="20" t="inlineStr">
        <is>
          <t>Goal-diff vs actual (|guess − actual|)</t>
        </is>
      </c>
      <c r="E20" s="21">
        <f>IF(OR(Picks!E18="",ACTUAL_TOTAL_GOALS=""),"",ABS(Picks!E18-ACTUAL_TOTAL_GOALS))</f>
        <v/>
      </c>
      <c r="F20" s="21">
        <f>IF(OR(Picks!G18="",ACTUAL_TOTAL_GOALS=""),"",ABS(Picks!G18-ACTUAL_TOTAL_GOALS))</f>
        <v/>
      </c>
      <c r="G20" s="21">
        <f>IF(OR(Picks!I18="",ACTUAL_TOTAL_GOALS=""),"",ABS(Picks!I18-ACTUAL_TOTAL_GOALS))</f>
        <v/>
      </c>
      <c r="H20" s="21">
        <f>IF(OR(Picks!K18="",ACTUAL_TOTAL_GOALS=""),"",ABS(Picks!K18-ACTUAL_TOTAL_GOALS))</f>
        <v/>
      </c>
      <c r="I20" s="21">
        <f>IF(OR(Picks!M18="",ACTUAL_TOTAL_GOALS=""),"",ABS(Picks!M18-ACTUAL_TOTAL_GOALS))</f>
        <v/>
      </c>
      <c r="J20" s="21">
        <f>IF(OR(Picks!O18="",ACTUAL_TOTAL_GOALS=""),"",ABS(Picks!O18-ACTUAL_TOTAL_GOALS))</f>
        <v/>
      </c>
      <c r="K20" s="21">
        <f>IF(OR(Picks!Q18="",ACTUAL_TOTAL_GOALS=""),"",ABS(Picks!Q18-ACTUAL_TOTAL_GOALS))</f>
        <v/>
      </c>
      <c r="L20" s="21">
        <f>IF(OR(Picks!S18="",ACTUAL_TOTAL_GOALS=""),"",ABS(Picks!S18-ACTUAL_TOTAL_GOALS))</f>
        <v/>
      </c>
      <c r="M20" s="21">
        <f>IF(OR(Picks!U18="",ACTUAL_TOTAL_GOALS=""),"",ABS(Picks!U18-ACTUAL_TOTAL_GOALS))</f>
        <v/>
      </c>
      <c r="N20" s="21">
        <f>IF(OR(Picks!W18="",ACTUAL_TOTAL_GOALS=""),"",ABS(Picks!W18-ACTUAL_TOTAL_GOALS))</f>
        <v/>
      </c>
      <c r="O20" s="21">
        <f>IF(OR(Picks!Y18="",ACTUAL_TOTAL_GOALS=""),"",ABS(Picks!Y18-ACTUAL_TOTAL_GOALS))</f>
        <v/>
      </c>
      <c r="P20" s="21">
        <f>IF(OR(Picks!AA18="",ACTUAL_TOTAL_GOALS=""),"",ABS(Picks!AA18-ACTUAL_TOTAL_GOALS))</f>
        <v/>
      </c>
      <c r="Q20" s="21">
        <f>IF(OR(Picks!AC18="",ACTUAL_TOTAL_GOALS=""),"",ABS(Picks!AC18-ACTUAL_TOTAL_GOALS))</f>
        <v/>
      </c>
      <c r="R20" s="21">
        <f>IF(OR(Picks!AE18="",ACTUAL_TOTAL_GOALS=""),"",ABS(Picks!AE18-ACTUAL_TOTAL_GOALS))</f>
        <v/>
      </c>
      <c r="S20" s="21">
        <f>IF(OR(Picks!AG18="",ACTUAL_TOTAL_GOALS=""),"",ABS(Picks!AG18-ACTUAL_TOTAL_GOALS))</f>
        <v/>
      </c>
      <c r="T20" s="21">
        <f>IF(OR(Picks!AI18="",ACTUAL_TOTAL_GOALS=""),"",ABS(Picks!AI18-ACTUAL_TOTAL_GOALS))</f>
        <v/>
      </c>
      <c r="U20" s="21">
        <f>IF(OR(Picks!AK18="",ACTUAL_TOTAL_GOALS=""),"",ABS(Picks!AK18-ACTUAL_TOTAL_GOALS))</f>
        <v/>
      </c>
      <c r="V20" s="21">
        <f>IF(OR(Picks!AM18="",ACTUAL_TOTAL_GOALS=""),"",ABS(Picks!AM18-ACTUAL_TOTAL_GOALS))</f>
        <v/>
      </c>
      <c r="W20" s="21">
        <f>IF(OR(Picks!AO18="",ACTUAL_TOTAL_GOALS=""),"",ABS(Picks!AO18-ACTUAL_TOTAL_GOALS))</f>
        <v/>
      </c>
      <c r="X20" s="21">
        <f>IF(OR(Picks!AQ18="",ACTUAL_TOTAL_GOALS=""),"",ABS(Picks!AQ18-ACTUAL_TOTAL_GOALS))</f>
        <v/>
      </c>
    </row>
    <row r="22">
      <c r="A22" s="4" t="inlineStr">
        <is>
          <t>Points by round</t>
        </is>
      </c>
      <c r="B22" s="22" t="n"/>
      <c r="C22" s="22" t="n"/>
      <c r="D22" s="23" t="n"/>
      <c r="E22" s="13">
        <f>Picks!E1</f>
        <v/>
      </c>
      <c r="F22" s="13">
        <f>Picks!G1</f>
        <v/>
      </c>
      <c r="G22" s="13">
        <f>Picks!I1</f>
        <v/>
      </c>
      <c r="H22" s="13">
        <f>Picks!K1</f>
        <v/>
      </c>
      <c r="I22" s="13">
        <f>Picks!M1</f>
        <v/>
      </c>
      <c r="J22" s="13">
        <f>Picks!O1</f>
        <v/>
      </c>
      <c r="K22" s="13">
        <f>Picks!Q1</f>
        <v/>
      </c>
      <c r="L22" s="13">
        <f>Picks!S1</f>
        <v/>
      </c>
      <c r="M22" s="13">
        <f>Picks!U1</f>
        <v/>
      </c>
      <c r="N22" s="13">
        <f>Picks!W1</f>
        <v/>
      </c>
      <c r="O22" s="13">
        <f>Picks!Y1</f>
        <v/>
      </c>
      <c r="P22" s="13">
        <f>Picks!AA1</f>
        <v/>
      </c>
      <c r="Q22" s="13">
        <f>Picks!AC1</f>
        <v/>
      </c>
      <c r="R22" s="13">
        <f>Picks!AE1</f>
        <v/>
      </c>
      <c r="S22" s="13">
        <f>Picks!AG1</f>
        <v/>
      </c>
      <c r="T22" s="13">
        <f>Picks!AI1</f>
        <v/>
      </c>
      <c r="U22" s="13">
        <f>Picks!AK1</f>
        <v/>
      </c>
      <c r="V22" s="13">
        <f>Picks!AM1</f>
        <v/>
      </c>
      <c r="W22" s="13">
        <f>Picks!AO1</f>
        <v/>
      </c>
      <c r="X22" s="13">
        <f>Picks!AQ1</f>
        <v/>
      </c>
    </row>
    <row r="23">
      <c r="A23" s="24" t="inlineStr">
        <is>
          <t>Round 1</t>
        </is>
      </c>
      <c r="B23" s="22" t="n"/>
      <c r="C23" s="22" t="n"/>
      <c r="D23" s="23" t="n"/>
      <c r="E23" s="7">
        <f>SUM(IF(E3="",0,E3),IF(E4="",0,E4),IF(E5="",0,E5),IF(E6="",0,E6),IF(E7="",0,E7),IF(E8="",0,E8),IF(E9="",0,E9),IF(E10="",0,E10))</f>
        <v/>
      </c>
      <c r="F23" s="7">
        <f>SUM(IF(F3="",0,F3),IF(F4="",0,F4),IF(F5="",0,F5),IF(F6="",0,F6),IF(F7="",0,F7),IF(F8="",0,F8),IF(F9="",0,F9),IF(F10="",0,F10))</f>
        <v/>
      </c>
      <c r="G23" s="7">
        <f>SUM(IF(G3="",0,G3),IF(G4="",0,G4),IF(G5="",0,G5),IF(G6="",0,G6),IF(G7="",0,G7),IF(G8="",0,G8),IF(G9="",0,G9),IF(G10="",0,G10))</f>
        <v/>
      </c>
      <c r="H23" s="7">
        <f>SUM(IF(H3="",0,H3),IF(H4="",0,H4),IF(H5="",0,H5),IF(H6="",0,H6),IF(H7="",0,H7),IF(H8="",0,H8),IF(H9="",0,H9),IF(H10="",0,H10))</f>
        <v/>
      </c>
      <c r="I23" s="7">
        <f>SUM(IF(I3="",0,I3),IF(I4="",0,I4),IF(I5="",0,I5),IF(I6="",0,I6),IF(I7="",0,I7),IF(I8="",0,I8),IF(I9="",0,I9),IF(I10="",0,I10))</f>
        <v/>
      </c>
      <c r="J23" s="7">
        <f>SUM(IF(J3="",0,J3),IF(J4="",0,J4),IF(J5="",0,J5),IF(J6="",0,J6),IF(J7="",0,J7),IF(J8="",0,J8),IF(J9="",0,J9),IF(J10="",0,J10))</f>
        <v/>
      </c>
      <c r="K23" s="7">
        <f>SUM(IF(K3="",0,K3),IF(K4="",0,K4),IF(K5="",0,K5),IF(K6="",0,K6),IF(K7="",0,K7),IF(K8="",0,K8),IF(K9="",0,K9),IF(K10="",0,K10))</f>
        <v/>
      </c>
      <c r="L23" s="7">
        <f>SUM(IF(L3="",0,L3),IF(L4="",0,L4),IF(L5="",0,L5),IF(L6="",0,L6),IF(L7="",0,L7),IF(L8="",0,L8),IF(L9="",0,L9),IF(L10="",0,L10))</f>
        <v/>
      </c>
      <c r="M23" s="7">
        <f>SUM(IF(M3="",0,M3),IF(M4="",0,M4),IF(M5="",0,M5),IF(M6="",0,M6),IF(M7="",0,M7),IF(M8="",0,M8),IF(M9="",0,M9),IF(M10="",0,M10))</f>
        <v/>
      </c>
      <c r="N23" s="7">
        <f>SUM(IF(N3="",0,N3),IF(N4="",0,N4),IF(N5="",0,N5),IF(N6="",0,N6),IF(N7="",0,N7),IF(N8="",0,N8),IF(N9="",0,N9),IF(N10="",0,N10))</f>
        <v/>
      </c>
      <c r="O23" s="7">
        <f>SUM(IF(O3="",0,O3),IF(O4="",0,O4),IF(O5="",0,O5),IF(O6="",0,O6),IF(O7="",0,O7),IF(O8="",0,O8),IF(O9="",0,O9),IF(O10="",0,O10))</f>
        <v/>
      </c>
      <c r="P23" s="7">
        <f>SUM(IF(P3="",0,P3),IF(P4="",0,P4),IF(P5="",0,P5),IF(P6="",0,P6),IF(P7="",0,P7),IF(P8="",0,P8),IF(P9="",0,P9),IF(P10="",0,P10))</f>
        <v/>
      </c>
      <c r="Q23" s="7">
        <f>SUM(IF(Q3="",0,Q3),IF(Q4="",0,Q4),IF(Q5="",0,Q5),IF(Q6="",0,Q6),IF(Q7="",0,Q7),IF(Q8="",0,Q8),IF(Q9="",0,Q9),IF(Q10="",0,Q10))</f>
        <v/>
      </c>
      <c r="R23" s="7">
        <f>SUM(IF(R3="",0,R3),IF(R4="",0,R4),IF(R5="",0,R5),IF(R6="",0,R6),IF(R7="",0,R7),IF(R8="",0,R8),IF(R9="",0,R9),IF(R10="",0,R10))</f>
        <v/>
      </c>
      <c r="S23" s="7">
        <f>SUM(IF(S3="",0,S3),IF(S4="",0,S4),IF(S5="",0,S5),IF(S6="",0,S6),IF(S7="",0,S7),IF(S8="",0,S8),IF(S9="",0,S9),IF(S10="",0,S10))</f>
        <v/>
      </c>
      <c r="T23" s="7">
        <f>SUM(IF(T3="",0,T3),IF(T4="",0,T4),IF(T5="",0,T5),IF(T6="",0,T6),IF(T7="",0,T7),IF(T8="",0,T8),IF(T9="",0,T9),IF(T10="",0,T10))</f>
        <v/>
      </c>
      <c r="U23" s="7">
        <f>SUM(IF(U3="",0,U3),IF(U4="",0,U4),IF(U5="",0,U5),IF(U6="",0,U6),IF(U7="",0,U7),IF(U8="",0,U8),IF(U9="",0,U9),IF(U10="",0,U10))</f>
        <v/>
      </c>
      <c r="V23" s="7">
        <f>SUM(IF(V3="",0,V3),IF(V4="",0,V4),IF(V5="",0,V5),IF(V6="",0,V6),IF(V7="",0,V7),IF(V8="",0,V8),IF(V9="",0,V9),IF(V10="",0,V10))</f>
        <v/>
      </c>
      <c r="W23" s="7">
        <f>SUM(IF(W3="",0,W3),IF(W4="",0,W4),IF(W5="",0,W5),IF(W6="",0,W6),IF(W7="",0,W7),IF(W8="",0,W8),IF(W9="",0,W9),IF(W10="",0,W10))</f>
        <v/>
      </c>
      <c r="X23" s="7">
        <f>SUM(IF(X3="",0,X3),IF(X4="",0,X4),IF(X5="",0,X5),IF(X6="",0,X6),IF(X7="",0,X7),IF(X8="",0,X8),IF(X9="",0,X9),IF(X10="",0,X10))</f>
        <v/>
      </c>
    </row>
    <row r="24">
      <c r="A24" s="25" t="inlineStr">
        <is>
          <t>Round 2</t>
        </is>
      </c>
      <c r="B24" s="22" t="n"/>
      <c r="C24" s="22" t="n"/>
      <c r="D24" s="23" t="n"/>
      <c r="E24" s="7">
        <f>SUM(IF(E11="",0,E11),IF(E12="",0,E12),IF(E13="",0,E13),IF(E14="",0,E14))</f>
        <v/>
      </c>
      <c r="F24" s="7">
        <f>SUM(IF(F11="",0,F11),IF(F12="",0,F12),IF(F13="",0,F13),IF(F14="",0,F14))</f>
        <v/>
      </c>
      <c r="G24" s="7">
        <f>SUM(IF(G11="",0,G11),IF(G12="",0,G12),IF(G13="",0,G13),IF(G14="",0,G14))</f>
        <v/>
      </c>
      <c r="H24" s="7">
        <f>SUM(IF(H11="",0,H11),IF(H12="",0,H12),IF(H13="",0,H13),IF(H14="",0,H14))</f>
        <v/>
      </c>
      <c r="I24" s="7">
        <f>SUM(IF(I11="",0,I11),IF(I12="",0,I12),IF(I13="",0,I13),IF(I14="",0,I14))</f>
        <v/>
      </c>
      <c r="J24" s="7">
        <f>SUM(IF(J11="",0,J11),IF(J12="",0,J12),IF(J13="",0,J13),IF(J14="",0,J14))</f>
        <v/>
      </c>
      <c r="K24" s="7">
        <f>SUM(IF(K11="",0,K11),IF(K12="",0,K12),IF(K13="",0,K13),IF(K14="",0,K14))</f>
        <v/>
      </c>
      <c r="L24" s="7">
        <f>SUM(IF(L11="",0,L11),IF(L12="",0,L12),IF(L13="",0,L13),IF(L14="",0,L14))</f>
        <v/>
      </c>
      <c r="M24" s="7">
        <f>SUM(IF(M11="",0,M11),IF(M12="",0,M12),IF(M13="",0,M13),IF(M14="",0,M14))</f>
        <v/>
      </c>
      <c r="N24" s="7">
        <f>SUM(IF(N11="",0,N11),IF(N12="",0,N12),IF(N13="",0,N13),IF(N14="",0,N14))</f>
        <v/>
      </c>
      <c r="O24" s="7">
        <f>SUM(IF(O11="",0,O11),IF(O12="",0,O12),IF(O13="",0,O13),IF(O14="",0,O14))</f>
        <v/>
      </c>
      <c r="P24" s="7">
        <f>SUM(IF(P11="",0,P11),IF(P12="",0,P12),IF(P13="",0,P13),IF(P14="",0,P14))</f>
        <v/>
      </c>
      <c r="Q24" s="7">
        <f>SUM(IF(Q11="",0,Q11),IF(Q12="",0,Q12),IF(Q13="",0,Q13),IF(Q14="",0,Q14))</f>
        <v/>
      </c>
      <c r="R24" s="7">
        <f>SUM(IF(R11="",0,R11),IF(R12="",0,R12),IF(R13="",0,R13),IF(R14="",0,R14))</f>
        <v/>
      </c>
      <c r="S24" s="7">
        <f>SUM(IF(S11="",0,S11),IF(S12="",0,S12),IF(S13="",0,S13),IF(S14="",0,S14))</f>
        <v/>
      </c>
      <c r="T24" s="7">
        <f>SUM(IF(T11="",0,T11),IF(T12="",0,T12),IF(T13="",0,T13),IF(T14="",0,T14))</f>
        <v/>
      </c>
      <c r="U24" s="7">
        <f>SUM(IF(U11="",0,U11),IF(U12="",0,U12),IF(U13="",0,U13),IF(U14="",0,U14))</f>
        <v/>
      </c>
      <c r="V24" s="7">
        <f>SUM(IF(V11="",0,V11),IF(V12="",0,V12),IF(V13="",0,V13),IF(V14="",0,V14))</f>
        <v/>
      </c>
      <c r="W24" s="7">
        <f>SUM(IF(W11="",0,W11),IF(W12="",0,W12),IF(W13="",0,W13),IF(W14="",0,W14))</f>
        <v/>
      </c>
      <c r="X24" s="7">
        <f>SUM(IF(X11="",0,X11),IF(X12="",0,X12),IF(X13="",0,X13),IF(X14="",0,X14))</f>
        <v/>
      </c>
    </row>
    <row r="25">
      <c r="A25" s="26" t="inlineStr">
        <is>
          <t>Conference Final</t>
        </is>
      </c>
      <c r="B25" s="22" t="n"/>
      <c r="C25" s="22" t="n"/>
      <c r="D25" s="23" t="n"/>
      <c r="E25" s="7">
        <f>SUM(IF(E15="",0,E15),IF(E16="",0,E16))</f>
        <v/>
      </c>
      <c r="F25" s="7">
        <f>SUM(IF(F15="",0,F15),IF(F16="",0,F16))</f>
        <v/>
      </c>
      <c r="G25" s="7">
        <f>SUM(IF(G15="",0,G15),IF(G16="",0,G16))</f>
        <v/>
      </c>
      <c r="H25" s="7">
        <f>SUM(IF(H15="",0,H15),IF(H16="",0,H16))</f>
        <v/>
      </c>
      <c r="I25" s="7">
        <f>SUM(IF(I15="",0,I15),IF(I16="",0,I16))</f>
        <v/>
      </c>
      <c r="J25" s="7">
        <f>SUM(IF(J15="",0,J15),IF(J16="",0,J16))</f>
        <v/>
      </c>
      <c r="K25" s="7">
        <f>SUM(IF(K15="",0,K15),IF(K16="",0,K16))</f>
        <v/>
      </c>
      <c r="L25" s="7">
        <f>SUM(IF(L15="",0,L15),IF(L16="",0,L16))</f>
        <v/>
      </c>
      <c r="M25" s="7">
        <f>SUM(IF(M15="",0,M15),IF(M16="",0,M16))</f>
        <v/>
      </c>
      <c r="N25" s="7">
        <f>SUM(IF(N15="",0,N15),IF(N16="",0,N16))</f>
        <v/>
      </c>
      <c r="O25" s="7">
        <f>SUM(IF(O15="",0,O15),IF(O16="",0,O16))</f>
        <v/>
      </c>
      <c r="P25" s="7">
        <f>SUM(IF(P15="",0,P15),IF(P16="",0,P16))</f>
        <v/>
      </c>
      <c r="Q25" s="7">
        <f>SUM(IF(Q15="",0,Q15),IF(Q16="",0,Q16))</f>
        <v/>
      </c>
      <c r="R25" s="7">
        <f>SUM(IF(R15="",0,R15),IF(R16="",0,R16))</f>
        <v/>
      </c>
      <c r="S25" s="7">
        <f>SUM(IF(S15="",0,S15),IF(S16="",0,S16))</f>
        <v/>
      </c>
      <c r="T25" s="7">
        <f>SUM(IF(T15="",0,T15),IF(T16="",0,T16))</f>
        <v/>
      </c>
      <c r="U25" s="7">
        <f>SUM(IF(U15="",0,U15),IF(U16="",0,U16))</f>
        <v/>
      </c>
      <c r="V25" s="7">
        <f>SUM(IF(V15="",0,V15),IF(V16="",0,V16))</f>
        <v/>
      </c>
      <c r="W25" s="7">
        <f>SUM(IF(W15="",0,W15),IF(W16="",0,W16))</f>
        <v/>
      </c>
      <c r="X25" s="7">
        <f>SUM(IF(X15="",0,X15),IF(X16="",0,X16))</f>
        <v/>
      </c>
    </row>
    <row r="26">
      <c r="A26" s="27" t="inlineStr">
        <is>
          <t>Stanley Cup Final</t>
        </is>
      </c>
      <c r="B26" s="22" t="n"/>
      <c r="C26" s="22" t="n"/>
      <c r="D26" s="23" t="n"/>
      <c r="E26" s="7">
        <f>SUM(IF(E17="",0,E17))</f>
        <v/>
      </c>
      <c r="F26" s="7">
        <f>SUM(IF(F17="",0,F17))</f>
        <v/>
      </c>
      <c r="G26" s="7">
        <f>SUM(IF(G17="",0,G17))</f>
        <v/>
      </c>
      <c r="H26" s="7">
        <f>SUM(IF(H17="",0,H17))</f>
        <v/>
      </c>
      <c r="I26" s="7">
        <f>SUM(IF(I17="",0,I17))</f>
        <v/>
      </c>
      <c r="J26" s="7">
        <f>SUM(IF(J17="",0,J17))</f>
        <v/>
      </c>
      <c r="K26" s="7">
        <f>SUM(IF(K17="",0,K17))</f>
        <v/>
      </c>
      <c r="L26" s="7">
        <f>SUM(IF(L17="",0,L17))</f>
        <v/>
      </c>
      <c r="M26" s="7">
        <f>SUM(IF(M17="",0,M17))</f>
        <v/>
      </c>
      <c r="N26" s="7">
        <f>SUM(IF(N17="",0,N17))</f>
        <v/>
      </c>
      <c r="O26" s="7">
        <f>SUM(IF(O17="",0,O17))</f>
        <v/>
      </c>
      <c r="P26" s="7">
        <f>SUM(IF(P17="",0,P17))</f>
        <v/>
      </c>
      <c r="Q26" s="7">
        <f>SUM(IF(Q17="",0,Q17))</f>
        <v/>
      </c>
      <c r="R26" s="7">
        <f>SUM(IF(R17="",0,R17))</f>
        <v/>
      </c>
      <c r="S26" s="7">
        <f>SUM(IF(S17="",0,S17))</f>
        <v/>
      </c>
      <c r="T26" s="7">
        <f>SUM(IF(T17="",0,T17))</f>
        <v/>
      </c>
      <c r="U26" s="7">
        <f>SUM(IF(U17="",0,U17))</f>
        <v/>
      </c>
      <c r="V26" s="7">
        <f>SUM(IF(V17="",0,V17))</f>
        <v/>
      </c>
      <c r="W26" s="7">
        <f>SUM(IF(W17="",0,W17))</f>
        <v/>
      </c>
      <c r="X26" s="7">
        <f>SUM(IF(X17="",0,X17))</f>
        <v/>
      </c>
    </row>
  </sheetData>
  <mergeCells count="9">
    <mergeCell ref="A1:D1"/>
    <mergeCell ref="A23:D23"/>
    <mergeCell ref="A18:D18"/>
    <mergeCell ref="A22:D22"/>
    <mergeCell ref="A20:D20"/>
    <mergeCell ref="A26:D26"/>
    <mergeCell ref="A25:D25"/>
    <mergeCell ref="A24:D24"/>
    <mergeCell ref="A19:D19"/>
  </mergeCells>
  <conditionalFormatting sqref="E3:X17">
    <cfRule type="colorScale" priority="1">
      <colorScale>
        <cfvo type="num" val="0"/>
        <cfvo type="num" val="5"/>
        <cfvo type="num" val="11"/>
        <color rgb="00FFFFFF"/>
        <color rgb="00FFF2CC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8" customWidth="1" min="4" max="4"/>
  </cols>
  <sheetData>
    <row r="1">
      <c r="A1" s="4" t="inlineStr">
        <is>
          <t>Rank</t>
        </is>
      </c>
      <c r="B1" s="4" t="inlineStr">
        <is>
          <t>Player</t>
        </is>
      </c>
      <c r="C1" s="4" t="inlineStr">
        <is>
          <t>Total Points</t>
        </is>
      </c>
      <c r="D1" s="4" t="inlineStr">
        <is>
          <t>Goal-Diff (TB)</t>
        </is>
      </c>
    </row>
    <row r="2">
      <c r="A2" s="28">
        <f>IF(C2="","",ROW()-1)</f>
        <v/>
      </c>
      <c r="B2" s="28">
        <f>IFERROR(INDEX(Scores!$E$1:$X$1,1,MATCH(LARGE(Scores!$E$19:$X$19,ROW()-1),Scores!$E$19:$X$19,0)),"")</f>
        <v/>
      </c>
      <c r="C2" s="28">
        <f>IFERROR(INDEX(Scores!$E$18:$X$18,1,MATCH(LARGE(Scores!$E$19:$X$19,ROW()-1),Scores!$E$19:$X$19,0)),"")</f>
        <v/>
      </c>
      <c r="D2" s="28">
        <f>IFERROR(INDEX(Scores!$E$20:$X$20,1,MATCH(LARGE(Scores!$E$19:$X$19,ROW()-1),Scores!$E$19:$X$19,0)),"")</f>
        <v/>
      </c>
    </row>
    <row r="3">
      <c r="A3" s="29">
        <f>IF(C3="","",ROW()-1)</f>
        <v/>
      </c>
      <c r="B3" s="29">
        <f>IFERROR(INDEX(Scores!$E$1:$X$1,1,MATCH(LARGE(Scores!$E$19:$X$19,ROW()-1),Scores!$E$19:$X$19,0)),"")</f>
        <v/>
      </c>
      <c r="C3" s="29">
        <f>IFERROR(INDEX(Scores!$E$18:$X$18,1,MATCH(LARGE(Scores!$E$19:$X$19,ROW()-1),Scores!$E$19:$X$19,0)),"")</f>
        <v/>
      </c>
      <c r="D3" s="29">
        <f>IFERROR(INDEX(Scores!$E$20:$X$20,1,MATCH(LARGE(Scores!$E$19:$X$19,ROW()-1),Scores!$E$19:$X$19,0)),"")</f>
        <v/>
      </c>
    </row>
    <row r="4">
      <c r="A4" s="29">
        <f>IF(C4="","",ROW()-1)</f>
        <v/>
      </c>
      <c r="B4" s="29">
        <f>IFERROR(INDEX(Scores!$E$1:$X$1,1,MATCH(LARGE(Scores!$E$19:$X$19,ROW()-1),Scores!$E$19:$X$19,0)),"")</f>
        <v/>
      </c>
      <c r="C4" s="29">
        <f>IFERROR(INDEX(Scores!$E$18:$X$18,1,MATCH(LARGE(Scores!$E$19:$X$19,ROW()-1),Scores!$E$19:$X$19,0)),"")</f>
        <v/>
      </c>
      <c r="D4" s="29">
        <f>IFERROR(INDEX(Scores!$E$20:$X$20,1,MATCH(LARGE(Scores!$E$19:$X$19,ROW()-1),Scores!$E$19:$X$19,0)),"")</f>
        <v/>
      </c>
    </row>
    <row r="5">
      <c r="A5" s="29">
        <f>IF(C5="","",ROW()-1)</f>
        <v/>
      </c>
      <c r="B5" s="29">
        <f>IFERROR(INDEX(Scores!$E$1:$X$1,1,MATCH(LARGE(Scores!$E$19:$X$19,ROW()-1),Scores!$E$19:$X$19,0)),"")</f>
        <v/>
      </c>
      <c r="C5" s="29">
        <f>IFERROR(INDEX(Scores!$E$18:$X$18,1,MATCH(LARGE(Scores!$E$19:$X$19,ROW()-1),Scores!$E$19:$X$19,0)),"")</f>
        <v/>
      </c>
      <c r="D5" s="29">
        <f>IFERROR(INDEX(Scores!$E$20:$X$20,1,MATCH(LARGE(Scores!$E$19:$X$19,ROW()-1),Scores!$E$19:$X$19,0)),"")</f>
        <v/>
      </c>
    </row>
    <row r="6">
      <c r="A6" s="29">
        <f>IF(C6="","",ROW()-1)</f>
        <v/>
      </c>
      <c r="B6" s="29">
        <f>IFERROR(INDEX(Scores!$E$1:$X$1,1,MATCH(LARGE(Scores!$E$19:$X$19,ROW()-1),Scores!$E$19:$X$19,0)),"")</f>
        <v/>
      </c>
      <c r="C6" s="29">
        <f>IFERROR(INDEX(Scores!$E$18:$X$18,1,MATCH(LARGE(Scores!$E$19:$X$19,ROW()-1),Scores!$E$19:$X$19,0)),"")</f>
        <v/>
      </c>
      <c r="D6" s="29">
        <f>IFERROR(INDEX(Scores!$E$20:$X$20,1,MATCH(LARGE(Scores!$E$19:$X$19,ROW()-1),Scores!$E$19:$X$19,0)),"")</f>
        <v/>
      </c>
    </row>
    <row r="7">
      <c r="A7" s="29">
        <f>IF(C7="","",ROW()-1)</f>
        <v/>
      </c>
      <c r="B7" s="29">
        <f>IFERROR(INDEX(Scores!$E$1:$X$1,1,MATCH(LARGE(Scores!$E$19:$X$19,ROW()-1),Scores!$E$19:$X$19,0)),"")</f>
        <v/>
      </c>
      <c r="C7" s="29">
        <f>IFERROR(INDEX(Scores!$E$18:$X$18,1,MATCH(LARGE(Scores!$E$19:$X$19,ROW()-1),Scores!$E$19:$X$19,0)),"")</f>
        <v/>
      </c>
      <c r="D7" s="29">
        <f>IFERROR(INDEX(Scores!$E$20:$X$20,1,MATCH(LARGE(Scores!$E$19:$X$19,ROW()-1),Scores!$E$19:$X$19,0)),"")</f>
        <v/>
      </c>
    </row>
    <row r="8">
      <c r="A8" s="29">
        <f>IF(C8="","",ROW()-1)</f>
        <v/>
      </c>
      <c r="B8" s="29">
        <f>IFERROR(INDEX(Scores!$E$1:$X$1,1,MATCH(LARGE(Scores!$E$19:$X$19,ROW()-1),Scores!$E$19:$X$19,0)),"")</f>
        <v/>
      </c>
      <c r="C8" s="29">
        <f>IFERROR(INDEX(Scores!$E$18:$X$18,1,MATCH(LARGE(Scores!$E$19:$X$19,ROW()-1),Scores!$E$19:$X$19,0)),"")</f>
        <v/>
      </c>
      <c r="D8" s="29">
        <f>IFERROR(INDEX(Scores!$E$20:$X$20,1,MATCH(LARGE(Scores!$E$19:$X$19,ROW()-1),Scores!$E$19:$X$19,0)),"")</f>
        <v/>
      </c>
    </row>
    <row r="9">
      <c r="A9" s="29">
        <f>IF(C9="","",ROW()-1)</f>
        <v/>
      </c>
      <c r="B9" s="29">
        <f>IFERROR(INDEX(Scores!$E$1:$X$1,1,MATCH(LARGE(Scores!$E$19:$X$19,ROW()-1),Scores!$E$19:$X$19,0)),"")</f>
        <v/>
      </c>
      <c r="C9" s="29">
        <f>IFERROR(INDEX(Scores!$E$18:$X$18,1,MATCH(LARGE(Scores!$E$19:$X$19,ROW()-1),Scores!$E$19:$X$19,0)),"")</f>
        <v/>
      </c>
      <c r="D9" s="29">
        <f>IFERROR(INDEX(Scores!$E$20:$X$20,1,MATCH(LARGE(Scores!$E$19:$X$19,ROW()-1),Scores!$E$19:$X$19,0)),"")</f>
        <v/>
      </c>
    </row>
    <row r="10">
      <c r="A10" s="29">
        <f>IF(C10="","",ROW()-1)</f>
        <v/>
      </c>
      <c r="B10" s="29">
        <f>IFERROR(INDEX(Scores!$E$1:$X$1,1,MATCH(LARGE(Scores!$E$19:$X$19,ROW()-1),Scores!$E$19:$X$19,0)),"")</f>
        <v/>
      </c>
      <c r="C10" s="29">
        <f>IFERROR(INDEX(Scores!$E$18:$X$18,1,MATCH(LARGE(Scores!$E$19:$X$19,ROW()-1),Scores!$E$19:$X$19,0)),"")</f>
        <v/>
      </c>
      <c r="D10" s="29">
        <f>IFERROR(INDEX(Scores!$E$20:$X$20,1,MATCH(LARGE(Scores!$E$19:$X$19,ROW()-1),Scores!$E$19:$X$19,0)),"")</f>
        <v/>
      </c>
    </row>
    <row r="11">
      <c r="A11" s="29">
        <f>IF(C11="","",ROW()-1)</f>
        <v/>
      </c>
      <c r="B11" s="29">
        <f>IFERROR(INDEX(Scores!$E$1:$X$1,1,MATCH(LARGE(Scores!$E$19:$X$19,ROW()-1),Scores!$E$19:$X$19,0)),"")</f>
        <v/>
      </c>
      <c r="C11" s="29">
        <f>IFERROR(INDEX(Scores!$E$18:$X$18,1,MATCH(LARGE(Scores!$E$19:$X$19,ROW()-1),Scores!$E$19:$X$19,0)),"")</f>
        <v/>
      </c>
      <c r="D11" s="29">
        <f>IFERROR(INDEX(Scores!$E$20:$X$20,1,MATCH(LARGE(Scores!$E$19:$X$19,ROW()-1),Scores!$E$19:$X$19,0)),"")</f>
        <v/>
      </c>
    </row>
    <row r="12">
      <c r="A12" s="29">
        <f>IF(C12="","",ROW()-1)</f>
        <v/>
      </c>
      <c r="B12" s="29">
        <f>IFERROR(INDEX(Scores!$E$1:$X$1,1,MATCH(LARGE(Scores!$E$19:$X$19,ROW()-1),Scores!$E$19:$X$19,0)),"")</f>
        <v/>
      </c>
      <c r="C12" s="29">
        <f>IFERROR(INDEX(Scores!$E$18:$X$18,1,MATCH(LARGE(Scores!$E$19:$X$19,ROW()-1),Scores!$E$19:$X$19,0)),"")</f>
        <v/>
      </c>
      <c r="D12" s="29">
        <f>IFERROR(INDEX(Scores!$E$20:$X$20,1,MATCH(LARGE(Scores!$E$19:$X$19,ROW()-1),Scores!$E$19:$X$19,0)),"")</f>
        <v/>
      </c>
    </row>
    <row r="13">
      <c r="A13" s="29">
        <f>IF(C13="","",ROW()-1)</f>
        <v/>
      </c>
      <c r="B13" s="29">
        <f>IFERROR(INDEX(Scores!$E$1:$X$1,1,MATCH(LARGE(Scores!$E$19:$X$19,ROW()-1),Scores!$E$19:$X$19,0)),"")</f>
        <v/>
      </c>
      <c r="C13" s="29">
        <f>IFERROR(INDEX(Scores!$E$18:$X$18,1,MATCH(LARGE(Scores!$E$19:$X$19,ROW()-1),Scores!$E$19:$X$19,0)),"")</f>
        <v/>
      </c>
      <c r="D13" s="29">
        <f>IFERROR(INDEX(Scores!$E$20:$X$20,1,MATCH(LARGE(Scores!$E$19:$X$19,ROW()-1),Scores!$E$19:$X$19,0)),"")</f>
        <v/>
      </c>
    </row>
    <row r="14">
      <c r="A14" s="29">
        <f>IF(C14="","",ROW()-1)</f>
        <v/>
      </c>
      <c r="B14" s="29">
        <f>IFERROR(INDEX(Scores!$E$1:$X$1,1,MATCH(LARGE(Scores!$E$19:$X$19,ROW()-1),Scores!$E$19:$X$19,0)),"")</f>
        <v/>
      </c>
      <c r="C14" s="29">
        <f>IFERROR(INDEX(Scores!$E$18:$X$18,1,MATCH(LARGE(Scores!$E$19:$X$19,ROW()-1),Scores!$E$19:$X$19,0)),"")</f>
        <v/>
      </c>
      <c r="D14" s="29">
        <f>IFERROR(INDEX(Scores!$E$20:$X$20,1,MATCH(LARGE(Scores!$E$19:$X$19,ROW()-1),Scores!$E$19:$X$19,0)),"")</f>
        <v/>
      </c>
    </row>
    <row r="15">
      <c r="A15" s="29">
        <f>IF(C15="","",ROW()-1)</f>
        <v/>
      </c>
      <c r="B15" s="29">
        <f>IFERROR(INDEX(Scores!$E$1:$X$1,1,MATCH(LARGE(Scores!$E$19:$X$19,ROW()-1),Scores!$E$19:$X$19,0)),"")</f>
        <v/>
      </c>
      <c r="C15" s="29">
        <f>IFERROR(INDEX(Scores!$E$18:$X$18,1,MATCH(LARGE(Scores!$E$19:$X$19,ROW()-1),Scores!$E$19:$X$19,0)),"")</f>
        <v/>
      </c>
      <c r="D15" s="29">
        <f>IFERROR(INDEX(Scores!$E$20:$X$20,1,MATCH(LARGE(Scores!$E$19:$X$19,ROW()-1),Scores!$E$19:$X$19,0)),"")</f>
        <v/>
      </c>
    </row>
    <row r="16">
      <c r="A16" s="29">
        <f>IF(C16="","",ROW()-1)</f>
        <v/>
      </c>
      <c r="B16" s="29">
        <f>IFERROR(INDEX(Scores!$E$1:$X$1,1,MATCH(LARGE(Scores!$E$19:$X$19,ROW()-1),Scores!$E$19:$X$19,0)),"")</f>
        <v/>
      </c>
      <c r="C16" s="29">
        <f>IFERROR(INDEX(Scores!$E$18:$X$18,1,MATCH(LARGE(Scores!$E$19:$X$19,ROW()-1),Scores!$E$19:$X$19,0)),"")</f>
        <v/>
      </c>
      <c r="D16" s="29">
        <f>IFERROR(INDEX(Scores!$E$20:$X$20,1,MATCH(LARGE(Scores!$E$19:$X$19,ROW()-1),Scores!$E$19:$X$19,0)),"")</f>
        <v/>
      </c>
    </row>
    <row r="17">
      <c r="A17" s="29">
        <f>IF(C17="","",ROW()-1)</f>
        <v/>
      </c>
      <c r="B17" s="29">
        <f>IFERROR(INDEX(Scores!$E$1:$X$1,1,MATCH(LARGE(Scores!$E$19:$X$19,ROW()-1),Scores!$E$19:$X$19,0)),"")</f>
        <v/>
      </c>
      <c r="C17" s="29">
        <f>IFERROR(INDEX(Scores!$E$18:$X$18,1,MATCH(LARGE(Scores!$E$19:$X$19,ROW()-1),Scores!$E$19:$X$19,0)),"")</f>
        <v/>
      </c>
      <c r="D17" s="29">
        <f>IFERROR(INDEX(Scores!$E$20:$X$20,1,MATCH(LARGE(Scores!$E$19:$X$19,ROW()-1),Scores!$E$19:$X$19,0)),"")</f>
        <v/>
      </c>
    </row>
    <row r="18">
      <c r="A18" s="29">
        <f>IF(C18="","",ROW()-1)</f>
        <v/>
      </c>
      <c r="B18" s="29">
        <f>IFERROR(INDEX(Scores!$E$1:$X$1,1,MATCH(LARGE(Scores!$E$19:$X$19,ROW()-1),Scores!$E$19:$X$19,0)),"")</f>
        <v/>
      </c>
      <c r="C18" s="29">
        <f>IFERROR(INDEX(Scores!$E$18:$X$18,1,MATCH(LARGE(Scores!$E$19:$X$19,ROW()-1),Scores!$E$19:$X$19,0)),"")</f>
        <v/>
      </c>
      <c r="D18" s="29">
        <f>IFERROR(INDEX(Scores!$E$20:$X$20,1,MATCH(LARGE(Scores!$E$19:$X$19,ROW()-1),Scores!$E$19:$X$19,0)),"")</f>
        <v/>
      </c>
    </row>
    <row r="19">
      <c r="A19" s="29">
        <f>IF(C19="","",ROW()-1)</f>
        <v/>
      </c>
      <c r="B19" s="29">
        <f>IFERROR(INDEX(Scores!$E$1:$X$1,1,MATCH(LARGE(Scores!$E$19:$X$19,ROW()-1),Scores!$E$19:$X$19,0)),"")</f>
        <v/>
      </c>
      <c r="C19" s="29">
        <f>IFERROR(INDEX(Scores!$E$18:$X$18,1,MATCH(LARGE(Scores!$E$19:$X$19,ROW()-1),Scores!$E$19:$X$19,0)),"")</f>
        <v/>
      </c>
      <c r="D19" s="29">
        <f>IFERROR(INDEX(Scores!$E$20:$X$20,1,MATCH(LARGE(Scores!$E$19:$X$19,ROW()-1),Scores!$E$19:$X$19,0)),"")</f>
        <v/>
      </c>
    </row>
    <row r="20">
      <c r="A20" s="29">
        <f>IF(C20="","",ROW()-1)</f>
        <v/>
      </c>
      <c r="B20" s="29">
        <f>IFERROR(INDEX(Scores!$E$1:$X$1,1,MATCH(LARGE(Scores!$E$19:$X$19,ROW()-1),Scores!$E$19:$X$19,0)),"")</f>
        <v/>
      </c>
      <c r="C20" s="29">
        <f>IFERROR(INDEX(Scores!$E$18:$X$18,1,MATCH(LARGE(Scores!$E$19:$X$19,ROW()-1),Scores!$E$19:$X$19,0)),"")</f>
        <v/>
      </c>
      <c r="D20" s="29">
        <f>IFERROR(INDEX(Scores!$E$20:$X$20,1,MATCH(LARGE(Scores!$E$19:$X$19,ROW()-1),Scores!$E$19:$X$19,0)),"")</f>
        <v/>
      </c>
    </row>
    <row r="21">
      <c r="A21" s="29">
        <f>IF(C21="","",ROW()-1)</f>
        <v/>
      </c>
      <c r="B21" s="29">
        <f>IFERROR(INDEX(Scores!$E$1:$X$1,1,MATCH(LARGE(Scores!$E$19:$X$19,ROW()-1),Scores!$E$19:$X$19,0)),"")</f>
        <v/>
      </c>
      <c r="C21" s="29">
        <f>IFERROR(INDEX(Scores!$E$18:$X$18,1,MATCH(LARGE(Scores!$E$19:$X$19,ROW()-1),Scores!$E$19:$X$19,0)),"")</f>
        <v/>
      </c>
      <c r="D21" s="29">
        <f>IFERROR(INDEX(Scores!$E$20:$X$20,1,MATCH(LARGE(Scores!$E$19:$X$19,ROW()-1),Scores!$E$19:$X$19,0)),"")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4" t="inlineStr">
        <is>
          <t>Setting</t>
        </is>
      </c>
      <c r="B1" s="4" t="inlineStr">
        <is>
          <t>Value</t>
        </is>
      </c>
    </row>
    <row r="2">
      <c r="A2" s="30" t="inlineStr">
        <is>
          <t>R1_PTS</t>
        </is>
      </c>
      <c r="B2" s="6" t="n">
        <v>2</v>
      </c>
    </row>
    <row r="3">
      <c r="A3" s="30" t="inlineStr">
        <is>
          <t>R2_PTS</t>
        </is>
      </c>
      <c r="B3" s="6" t="n">
        <v>4</v>
      </c>
    </row>
    <row r="4">
      <c r="A4" s="30" t="inlineStr">
        <is>
          <t>CF_PTS</t>
        </is>
      </c>
      <c r="B4" s="6" t="n">
        <v>6</v>
      </c>
    </row>
    <row r="5">
      <c r="A5" s="30" t="inlineStr">
        <is>
          <t>SCF_PTS</t>
        </is>
      </c>
      <c r="B5" s="6" t="n">
        <v>10</v>
      </c>
    </row>
    <row r="6">
      <c r="A6" s="30" t="inlineStr">
        <is>
          <t>GAMES_BONUS</t>
        </is>
      </c>
      <c r="B6" s="6" t="n">
        <v>1</v>
      </c>
    </row>
    <row r="7">
      <c r="A7" s="30" t="inlineStr">
        <is>
          <t>PICKS_LOCKED</t>
        </is>
      </c>
      <c r="B7" s="6" t="b">
        <v>0</v>
      </c>
    </row>
  </sheetData>
  <dataValidations count="1">
    <dataValidation sqref="B7" showDropDown="0" showInputMessage="0" showErrorMessage="0" allowBlank="0" errorTitle="Invalid value" error="PICKS_LOCKED must be TRUE or FALSE.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2026-05-31T18:41:13Z</dcterms:created>
  <dcterms:modified xsi:type="dcterms:W3CDTF">2026-05-31T18:41:13Z</dcterms:modified>
</cp:coreProperties>
</file>